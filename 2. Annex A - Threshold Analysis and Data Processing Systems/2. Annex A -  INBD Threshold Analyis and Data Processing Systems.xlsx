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E:\FICCO ( DPA COMPLIANCE )\TRAINING &amp; WORKSHOP\INBD\2. Annex A - Threshold Analysis and Data Processing Systems\"/>
    </mc:Choice>
  </mc:AlternateContent>
  <xr:revisionPtr revIDLastSave="0" documentId="13_ncr:1_{17E4D9F0-B830-4FA3-97AE-BB2EED01BA4D}" xr6:coauthVersionLast="47" xr6:coauthVersionMax="47" xr10:uidLastSave="{00000000-0000-0000-0000-000000000000}"/>
  <bookViews>
    <workbookView xWindow="1500" yWindow="1230" windowWidth="23835" windowHeight="13515" firstSheet="1" activeTab="4" xr2:uid="{00000000-000D-0000-FFFF-FFFF00000000}"/>
  </bookViews>
  <sheets>
    <sheet name="Threshold" sheetId="1" state="hidden" r:id="rId1"/>
    <sheet name="Threshold.format" sheetId="17" r:id="rId2"/>
    <sheet name="Core activities (2)" sheetId="4" state="hidden" r:id="rId3"/>
    <sheet name="Core Activities.format" sheetId="18" r:id="rId4"/>
    <sheet name="Data Processing Systems" sheetId="12" r:id="rId5"/>
    <sheet name="Major Processes" sheetId="15" state="hidden" r:id="rId6"/>
    <sheet name="Group DPS" sheetId="16" state="hidden" r:id="rId7"/>
    <sheet name="Core Activities" sheetId="2" state="hidden" r:id="rId8"/>
    <sheet name="Data processing systems (2)" sheetId="5" state="hidden" r:id="rId9"/>
    <sheet name="Draft DPS" sheetId="7" state="hidden" r:id="rId10"/>
    <sheet name="Calendar" sheetId="11" state="hidden" r:id="rId11"/>
    <sheet name="Sheet1" sheetId="6" state="hidden" r:id="rId12"/>
  </sheets>
  <definedNames>
    <definedName name="_xlnm._FilterDatabase" localSheetId="7" hidden="1">'Core Activities'!$A$4:$C$74</definedName>
    <definedName name="_xlnm._FilterDatabase" localSheetId="4" hidden="1">'Data Processing Systems'!$B$9:$T$14</definedName>
    <definedName name="_xlnm._FilterDatabase" localSheetId="5" hidden="1">'Major Processes'!$B$2:$D$39</definedName>
    <definedName name="_xlnm._FilterDatabase" localSheetId="0" hidden="1">Threshold!$B$4:$K$74</definedName>
    <definedName name="_xlnm.Print_Area" localSheetId="3">'Core Activities.format'!$B$2:$E$12</definedName>
    <definedName name="_xlnm.Print_Area" localSheetId="4">'Data Processing Systems'!$B$1:$T$14</definedName>
    <definedName name="_xlnm.Print_Titles" localSheetId="7">'Core Activities'!$4:$4</definedName>
    <definedName name="_xlnm.Print_Titles" localSheetId="4">'Data Processing Systems'!$1:$9</definedName>
    <definedName name="_xlnm.Print_Titles" localSheetId="0">Threshold!$4:$4</definedName>
  </definedNames>
  <calcPr calcId="191029"/>
</workbook>
</file>

<file path=xl/calcChain.xml><?xml version="1.0" encoding="utf-8"?>
<calcChain xmlns="http://schemas.openxmlformats.org/spreadsheetml/2006/main">
  <c r="B10" i="17" l="1"/>
  <c r="B11" i="17" s="1"/>
  <c r="B9" i="17"/>
  <c r="B8" i="17"/>
  <c r="D18" i="7" l="1"/>
  <c r="B10" i="7" l="1"/>
  <c r="B11" i="7" s="1"/>
  <c r="B12" i="7" s="1"/>
  <c r="B13" i="7" s="1"/>
  <c r="B14" i="7" s="1"/>
  <c r="B15" i="7" s="1"/>
  <c r="B16" i="7" s="1"/>
  <c r="B17" i="7" s="1"/>
  <c r="B18" i="7" s="1"/>
  <c r="B19" i="7" s="1"/>
  <c r="B20" i="7" s="1"/>
  <c r="B21" i="7" s="1"/>
  <c r="B22" i="7" l="1"/>
  <c r="B23" i="7" s="1"/>
  <c r="B24"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Eidan Cesar D. Rivera</author>
  </authors>
  <commentList>
    <comment ref="D1" authorId="0" shapeId="0" xr:uid="{00000000-0006-0000-0800-000001000000}">
      <text>
        <r>
          <rPr>
            <b/>
            <sz val="9"/>
            <color indexed="81"/>
            <rFont val="Tahoma"/>
            <family val="2"/>
          </rPr>
          <t>Eidan Cesar D. Rivera:</t>
        </r>
        <r>
          <rPr>
            <sz val="9"/>
            <color indexed="81"/>
            <rFont val="Tahoma"/>
            <family val="2"/>
          </rPr>
          <t xml:space="preserve">
Answers the question, "Why is personal data involved in the process?"</t>
        </r>
      </text>
    </comment>
    <comment ref="B15" authorId="0" shapeId="0" xr:uid="{00000000-0006-0000-0800-000002000000}">
      <text>
        <r>
          <rPr>
            <b/>
            <sz val="9"/>
            <color indexed="81"/>
            <rFont val="Tahoma"/>
            <family val="2"/>
          </rPr>
          <t>Eidan Cesar D. Rivera:</t>
        </r>
        <r>
          <rPr>
            <sz val="9"/>
            <color indexed="81"/>
            <rFont val="Tahoma"/>
            <family val="2"/>
          </rPr>
          <t xml:space="preserve">
Maybe included as part of </t>
        </r>
        <r>
          <rPr>
            <b/>
            <sz val="9"/>
            <color indexed="81"/>
            <rFont val="Tahoma"/>
            <family val="2"/>
          </rPr>
          <t>work clearance processing</t>
        </r>
      </text>
    </comment>
    <comment ref="D33" authorId="0" shapeId="0" xr:uid="{00000000-0006-0000-0800-000003000000}">
      <text>
        <r>
          <rPr>
            <b/>
            <sz val="9"/>
            <color indexed="81"/>
            <rFont val="Tahoma"/>
            <family val="2"/>
          </rPr>
          <t>Eidan Cesar D. Rivera:</t>
        </r>
        <r>
          <rPr>
            <sz val="9"/>
            <color indexed="81"/>
            <rFont val="Tahoma"/>
            <family val="2"/>
          </rPr>
          <t xml:space="preserve">
Answers the question, "Why is personal data involved in the process?"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Elizer P. Betinol</author>
  </authors>
  <commentList>
    <comment ref="D21" authorId="0" shapeId="0" xr:uid="{00000000-0006-0000-0900-000001000000}">
      <text>
        <r>
          <rPr>
            <b/>
            <sz val="9"/>
            <color indexed="81"/>
            <rFont val="Tahoma"/>
            <family val="2"/>
          </rPr>
          <t>Elizer P. Betinol:</t>
        </r>
        <r>
          <rPr>
            <sz val="9"/>
            <color indexed="81"/>
            <rFont val="Tahoma"/>
            <family val="2"/>
          </rPr>
          <t xml:space="preserve">
Include CCTV (from capturing, use, storage and back-up, and disposal of recordings)</t>
        </r>
      </text>
    </comment>
  </commentList>
</comments>
</file>

<file path=xl/sharedStrings.xml><?xml version="1.0" encoding="utf-8"?>
<sst xmlns="http://schemas.openxmlformats.org/spreadsheetml/2006/main" count="1458" uniqueCount="641">
  <si>
    <t>Human Resource</t>
  </si>
  <si>
    <t>Use</t>
  </si>
  <si>
    <t>Store</t>
  </si>
  <si>
    <t>Share</t>
  </si>
  <si>
    <t>Dispose</t>
  </si>
  <si>
    <t>Remarks</t>
  </si>
  <si>
    <t>a</t>
  </si>
  <si>
    <t>Collect</t>
  </si>
  <si>
    <t>Function of the Unit</t>
  </si>
  <si>
    <t>Recruitment</t>
  </si>
  <si>
    <t>Training and Development</t>
  </si>
  <si>
    <t>Compensation and Benefits</t>
  </si>
  <si>
    <t>Security</t>
  </si>
  <si>
    <t>Legal</t>
  </si>
  <si>
    <t>Internal Audit</t>
  </si>
  <si>
    <t>Finance</t>
  </si>
  <si>
    <t>Department/ Business Unit</t>
  </si>
  <si>
    <t>Core activity</t>
  </si>
  <si>
    <t>Personal data processing activity</t>
  </si>
  <si>
    <t>Handling of recruitment and on-boarding procedures</t>
  </si>
  <si>
    <t>Selection and recruitment</t>
  </si>
  <si>
    <t>Creating and monitoring employee training plans, and execution thereof</t>
  </si>
  <si>
    <t>Employee trainings</t>
  </si>
  <si>
    <t>Managing employee relations, compensation and benefits</t>
  </si>
  <si>
    <t>On-boarding
Timekeeping and payroll processing
Employee Masterfile Maintenance
Off-boarding
Dependent's pass registration</t>
  </si>
  <si>
    <t>Operations</t>
  </si>
  <si>
    <t>Train Management</t>
  </si>
  <si>
    <t>Managing train operations</t>
  </si>
  <si>
    <t>N/A</t>
  </si>
  <si>
    <t>Station Operations</t>
  </si>
  <si>
    <t>Managing station operations</t>
  </si>
  <si>
    <t>Incident Management (including Lost and Found items procedures)
Card Management
Feedback Management</t>
  </si>
  <si>
    <t>Operations Control Centre</t>
  </si>
  <si>
    <t>Coordinating operations between and among stations and managing railway traffic</t>
  </si>
  <si>
    <t>Incident Management</t>
  </si>
  <si>
    <t>Operations Support</t>
  </si>
  <si>
    <t>Conducting employee trainings and employee KPI assessment</t>
  </si>
  <si>
    <t>Providing security services</t>
  </si>
  <si>
    <t xml:space="preserve">Incident Management
Access Control Management (Employees, contractors, visitors, vehicles)
</t>
  </si>
  <si>
    <t>Engineering</t>
  </si>
  <si>
    <t>Rolling Stock</t>
  </si>
  <si>
    <t>Construction and maintenance of company’s rolling stock</t>
  </si>
  <si>
    <t>Infrastructure</t>
  </si>
  <si>
    <t>Construction and maintenance of company’s facilities, infrastructure and buildings</t>
  </si>
  <si>
    <t>Engineering Support</t>
  </si>
  <si>
    <t>Maintenance planning and issuance of work clearance</t>
  </si>
  <si>
    <t>Work clearance processing</t>
  </si>
  <si>
    <t>Information Technology</t>
  </si>
  <si>
    <t xml:space="preserve">Providing IT support and maintenance services to other departments, including:
          Application support and enhancement/development
          Access administration
          Network management
          </t>
  </si>
  <si>
    <t>IT Access Administration</t>
  </si>
  <si>
    <t>System Administration</t>
  </si>
  <si>
    <t>Network and Telecommunications Administration</t>
  </si>
  <si>
    <t>IS Project Management and Applications Development</t>
  </si>
  <si>
    <t>IT Quality Assurance</t>
  </si>
  <si>
    <t>Health, Safety, Environment and Quality</t>
  </si>
  <si>
    <t>Health and Safety</t>
  </si>
  <si>
    <t>Managing clinic operations and incidents with health and safety concerns, including provision of first aid;
Conducting safety induction and other related trainings</t>
  </si>
  <si>
    <t>Clinic management
Medical Case Management Program
Safety Induction</t>
  </si>
  <si>
    <t>Environment and Social</t>
  </si>
  <si>
    <t>Conducting environmental and CSR activities, including the monitoring of compliance to environmental protection laws</t>
  </si>
  <si>
    <t>CSR Activities</t>
  </si>
  <si>
    <t>Quality Control</t>
  </si>
  <si>
    <t>Centralizing document management and control</t>
  </si>
  <si>
    <t>Document Management</t>
  </si>
  <si>
    <t>Risk Management</t>
  </si>
  <si>
    <t>Performing enterprise risk management</t>
  </si>
  <si>
    <t>Corporate Finance and Treasury</t>
  </si>
  <si>
    <t>Planning and Analysis</t>
  </si>
  <si>
    <t>Performing budgeting and analysis, including the monitoring of the company’s financial model, and investments</t>
  </si>
  <si>
    <t>Loan Drawdowns and Compliance</t>
  </si>
  <si>
    <t>Managing loans and compliance with covenants based on the Omnibus Loan Security Agreement (OLSA)</t>
  </si>
  <si>
    <t>Corporate Treasury</t>
  </si>
  <si>
    <t>Performing cash forecasts, and managing short-term investments, forex transactions, and bank relations</t>
  </si>
  <si>
    <t>Bank Relations Management</t>
  </si>
  <si>
    <t>Treasury Operations</t>
  </si>
  <si>
    <t>Managing bank deposits and posting Cash in Bank movements in Oracle</t>
  </si>
  <si>
    <t>Revenue Assurance</t>
  </si>
  <si>
    <t>Rail Revenue and Collection</t>
  </si>
  <si>
    <t>Managing rail revenues, including cash control and reconciliation</t>
  </si>
  <si>
    <t>Card Management</t>
  </si>
  <si>
    <t>Automated Fare Collection System (AFCS)</t>
  </si>
  <si>
    <t>Managing concessionary cards and AFCS system administration</t>
  </si>
  <si>
    <t>Controllership</t>
  </si>
  <si>
    <t>Accounting</t>
  </si>
  <si>
    <t>Recording of financial transactions</t>
  </si>
  <si>
    <t>Financial Reporting</t>
  </si>
  <si>
    <t>Preparing financial reports
Performing financial system administration</t>
  </si>
  <si>
    <t>Vendor Master File Maintenance</t>
  </si>
  <si>
    <t>Procurement</t>
  </si>
  <si>
    <t>Strategic Management</t>
  </si>
  <si>
    <t>Performing vendor accreditation</t>
  </si>
  <si>
    <t>Operational/Tactical</t>
  </si>
  <si>
    <t xml:space="preserve">Managing procurements, and facilitating bidding process and contracts management </t>
  </si>
  <si>
    <t>Logistics</t>
  </si>
  <si>
    <t>Managing procurement deliveries</t>
  </si>
  <si>
    <t>Performing internal audit function</t>
  </si>
  <si>
    <t>Information Security</t>
  </si>
  <si>
    <t>[Drafting of and] Managing the Company's information security program to protect information assets</t>
  </si>
  <si>
    <t>Admin and Logistics</t>
  </si>
  <si>
    <t>Asset Management and Logistics</t>
  </si>
  <si>
    <t>Managing inventory, including receiving of deliveries, warehousing and asset distribution</t>
  </si>
  <si>
    <t>Office Administration</t>
  </si>
  <si>
    <t>Reception, fleet/vehicle management, janitorial services and other administrative and general support functions</t>
  </si>
  <si>
    <t>Key Performance Indicators</t>
  </si>
  <si>
    <t>Managing KPIs and communications with grantors</t>
  </si>
  <si>
    <t>Compliance</t>
  </si>
  <si>
    <t>Providing corporate legal services to other departments, including:
          Contracts review
          Compliance requirements
          Notarial services</t>
  </si>
  <si>
    <t>Contracts Management</t>
  </si>
  <si>
    <t>Claims</t>
  </si>
  <si>
    <t>Providing litigation support to other departments</t>
  </si>
  <si>
    <t>Corporate Communications</t>
  </si>
  <si>
    <t>Centralizing communications within the company and to external parties, including customer feedback
Handling of registration for volunteers to the company’s CSR activities
Managing media relations</t>
  </si>
  <si>
    <t>Feedback Management
CSR Activities</t>
  </si>
  <si>
    <t>Business Development</t>
  </si>
  <si>
    <t>Handling of non-rail revenue services of the company:
          Advertising
          Retail
          Building interconnections
          Special projects</t>
  </si>
  <si>
    <t>Partner Merchant Accreditation</t>
  </si>
  <si>
    <t>Project Management</t>
  </si>
  <si>
    <t>Managing on-going projects with respect to stations, depot, rails and the Cavite extension</t>
  </si>
  <si>
    <t>Data Processing System</t>
  </si>
  <si>
    <t>Process Description</t>
  </si>
  <si>
    <t>Purpose of processing personal data</t>
  </si>
  <si>
    <t>Departments involved</t>
  </si>
  <si>
    <t>Data Subject</t>
  </si>
  <si>
    <t>PIP</t>
  </si>
  <si>
    <t>Scope outsourced</t>
  </si>
  <si>
    <t>Employee Data Processing</t>
  </si>
  <si>
    <t>Hiring employees and filling up the manpower requirements of the company</t>
  </si>
  <si>
    <t>To verify the identity of the candidate</t>
  </si>
  <si>
    <t>HR Department</t>
  </si>
  <si>
    <t>Candidate / Employee</t>
  </si>
  <si>
    <t>Vanguard</t>
  </si>
  <si>
    <t>Background investigation</t>
  </si>
  <si>
    <t>On-boarding</t>
  </si>
  <si>
    <t>Providing new employees the requirements of their job (e.g., orientation, enrollment in PeopleSoft, asset requirements)</t>
  </si>
  <si>
    <t>To fulfill the employment contract</t>
  </si>
  <si>
    <t>Employee</t>
  </si>
  <si>
    <t>?</t>
  </si>
  <si>
    <t>Printing of ID and business cards</t>
  </si>
  <si>
    <t>Employee Trainings</t>
  </si>
  <si>
    <t>Providing employees necessary trainings for their professional and personal development</t>
  </si>
  <si>
    <t>HR Department, Operations Support</t>
  </si>
  <si>
    <t>None</t>
  </si>
  <si>
    <t>Employee Masterfile Maintenance</t>
  </si>
  <si>
    <t>Maintaining an updated record of all employees of the company</t>
  </si>
  <si>
    <t>HCX, Inc. (formerly HR Mall)</t>
  </si>
  <si>
    <t>Application system administration</t>
  </si>
  <si>
    <t>IT Access Control Administration</t>
  </si>
  <si>
    <t>Managing access of employees to the company's network and application systems, IT assets, from granting of such access, modification and revocation thereof</t>
  </si>
  <si>
    <t>IT Department</t>
  </si>
  <si>
    <t>Off-boarding</t>
  </si>
  <si>
    <t>Formal procedures for the separation of an employee, whether due to resignation, termination, retirement, or other lawful causes</t>
  </si>
  <si>
    <t>Timekeeping and payroll processing</t>
  </si>
  <si>
    <t>Monitoring employee attendance and processing of their payrolls</t>
  </si>
  <si>
    <t>HR Department, IT Department</t>
  </si>
  <si>
    <t>Dependent's pass registration</t>
  </si>
  <si>
    <t>Granting free access pass to designated dependents of employees as part of the employee's benefits</t>
  </si>
  <si>
    <t>To identify the dependent and verify his/her relationship with the employee</t>
  </si>
  <si>
    <t>Employee dependent</t>
  </si>
  <si>
    <t>Rubicon</t>
  </si>
  <si>
    <t>Printing of dependent's pass</t>
  </si>
  <si>
    <t>Contractor Management</t>
  </si>
  <si>
    <t>Maintaining an updated record of all accredited vendors and contractors of the company, including the procedures for vendor selection, vendor accreditation and vendor enrollment</t>
  </si>
  <si>
    <t>To identify the contractor/vendor (especially in the case of sole proprietors), and its key officers, necessary for the evaluation of such contractor/vendor</t>
  </si>
  <si>
    <t>Procurement, Financial Reporting</t>
  </si>
  <si>
    <t>Contact person of contractor / Sole proprietor</t>
  </si>
  <si>
    <t>Contract Management</t>
  </si>
  <si>
    <t>Reviewing contracts to be entered by the Company in order to ensure such contracts meet the provisions desired for by the Company.</t>
  </si>
  <si>
    <t>To identify the authorized signatory for the contractor/vendor (or the sole proprietors himself), and for notary purposes (as needed by the Company's contract policy)</t>
  </si>
  <si>
    <t>Procurement, Legal</t>
  </si>
  <si>
    <t>Employee
Contact person of contractor / Sole proprietor</t>
  </si>
  <si>
    <t>Safety Induction</t>
  </si>
  <si>
    <t>Orienting contractor workers of the safety rules being implemented in the company</t>
  </si>
  <si>
    <t>To identify the contractor workers who have undergone such safety induction</t>
  </si>
  <si>
    <t>Contractor worker</t>
  </si>
  <si>
    <t>Authorizing contractors and their respective workers to carry out any work procedure they are engaged for</t>
  </si>
  <si>
    <t>To identify the specific contractor workers who are authorized to carry out the work procedure/s</t>
  </si>
  <si>
    <t>Engineering support, Health and Safety, OCC, Security</t>
  </si>
  <si>
    <t>Customer Relations</t>
  </si>
  <si>
    <t>Feedback Management</t>
  </si>
  <si>
    <t>Addressing customer feedbacks and performing necessary reports and investigations</t>
  </si>
  <si>
    <t>To identify customer and reach him/her on the status and resolution of his/her feedback</t>
  </si>
  <si>
    <t>Station Operations, Corporate Communications</t>
  </si>
  <si>
    <t>Passenger</t>
  </si>
  <si>
    <t>Health, Safety and Security</t>
  </si>
  <si>
    <t>Access Control Management</t>
  </si>
  <si>
    <t>Controlling physical access to the depot, stations and revenue line, either of employees, contractors, visitors, passengers, including vehicles</t>
  </si>
  <si>
    <t>To identify individuals entering the premises of the Company, and maintain records thereof for security reference</t>
  </si>
  <si>
    <t>Employee / Visitor / Contractor worker</t>
  </si>
  <si>
    <t>Kaizen Security</t>
  </si>
  <si>
    <t>Full process outsourced</t>
  </si>
  <si>
    <t>Clinic management</t>
  </si>
  <si>
    <t>Providing healthcare needs of employees and passengers while they are in the depot or in the revenue line</t>
  </si>
  <si>
    <t>To identify individuals visiting the clinic, and maintain records to be used as reference in reporting to DOLE</t>
  </si>
  <si>
    <t>Employee / Passenger</t>
  </si>
  <si>
    <t>ActiveOne</t>
  </si>
  <si>
    <t>Medical Case Management Program</t>
  </si>
  <si>
    <t>Assissting employees with non-occupational or work-related illness and injuries and monitoring such cases</t>
  </si>
  <si>
    <t>To monitor the health conditions of employees</t>
  </si>
  <si>
    <t>Health and Safety, HR Department</t>
  </si>
  <si>
    <t>Addressing and controlling health-, operations- or security-related incidents that occur within the premises of the Company</t>
  </si>
  <si>
    <t>To identify individuals involved in incidents for reporting and security reference</t>
  </si>
  <si>
    <t>Station Operations, Health and Safety, OCC, Security</t>
  </si>
  <si>
    <t>Kaizen Security
ActiveOne</t>
  </si>
  <si>
    <t>Security-related incidents
Health-related incidents</t>
  </si>
  <si>
    <t>Other activities</t>
  </si>
  <si>
    <t>Performing corporate social responsibility activities of the Company, including the Save-a-River program</t>
  </si>
  <si>
    <t>To identify the volunteers to the program and maintain records of attendance for reference</t>
  </si>
  <si>
    <t>Environment and Social, Corporate Communications, Accounting</t>
  </si>
  <si>
    <t>Volunteer (aka "River Guardian") / Employee</t>
  </si>
  <si>
    <t>Regulating businesses that lease retail spaces in or connect to the stations</t>
  </si>
  <si>
    <t>To identify the partner merchant for the evaluation, and as signatory in the contract</t>
  </si>
  <si>
    <t>Sole proprietor</t>
  </si>
  <si>
    <t>Ayala Land, Inc.</t>
  </si>
  <si>
    <t>Business case assessment</t>
  </si>
  <si>
    <t>Maintaining an updated record of the relationship managers of banks which the company transacts with</t>
  </si>
  <si>
    <t>To maintain communication between the Company and bank relationship managers</t>
  </si>
  <si>
    <t>Relationship manager of bank</t>
  </si>
  <si>
    <t>Document Control and Management</t>
  </si>
  <si>
    <t>Managing Company's records and documents and maintaining a central repository thereof</t>
  </si>
  <si>
    <t>Serves as the repository of the documents in the above systems, as provided by the Company's policies</t>
  </si>
  <si>
    <t>Document Control</t>
  </si>
  <si>
    <t>Various</t>
  </si>
  <si>
    <t>Activities performed as a PIP</t>
  </si>
  <si>
    <t>PIC</t>
  </si>
  <si>
    <t>Concessionary Card Management</t>
  </si>
  <si>
    <t>Granting of concessionary cards to senior citizens and PWDs</t>
  </si>
  <si>
    <t>To identify applicant and verify his/her eligibility (as a senior citizen or PWD) for the concessionary card, as well as contact him/her as necessary</t>
  </si>
  <si>
    <t>Station Operations, Revenue Assurance</t>
  </si>
  <si>
    <t>Concessionary cardholder (Senior citizen or PWD)</t>
  </si>
  <si>
    <t>Automated Fare Payments, Inc.</t>
  </si>
  <si>
    <t>Application, card distribution</t>
  </si>
  <si>
    <t>Card Incident Management</t>
  </si>
  <si>
    <t>Addressing concerns regarding malfunctioning stored value cards and malfunctioning or lost concessionary cards</t>
  </si>
  <si>
    <t>To identify and contact the cardholder</t>
  </si>
  <si>
    <t>Passenger / Concessionary cardholder</t>
  </si>
  <si>
    <t>r</t>
  </si>
  <si>
    <t>Partner Connect - HRIS</t>
  </si>
  <si>
    <t>Activelink - Broker</t>
  </si>
  <si>
    <t>Application Form</t>
  </si>
  <si>
    <t>Acceptance/ Rejection Letter</t>
  </si>
  <si>
    <t>Application Summary Form</t>
  </si>
  <si>
    <t>Job Offer</t>
  </si>
  <si>
    <t>Resume</t>
  </si>
  <si>
    <t>Employee Profile</t>
  </si>
  <si>
    <t>Employment Contract</t>
  </si>
  <si>
    <t>Pre Employment Requirements</t>
  </si>
  <si>
    <t>Non - Disclosure Agreement</t>
  </si>
  <si>
    <t>Excel File - Partner Number</t>
  </si>
  <si>
    <t>Health Certificate</t>
  </si>
  <si>
    <t>Working Permit</t>
  </si>
  <si>
    <t>Lanie - Time Keeping</t>
  </si>
  <si>
    <t>Excel File - Deductions (SSS Philhealth)</t>
  </si>
  <si>
    <t>Bank Advise</t>
  </si>
  <si>
    <t>Debit Memo</t>
  </si>
  <si>
    <t>Clearance</t>
  </si>
  <si>
    <t>Promotion Letter</t>
  </si>
  <si>
    <t>Health Care Application Form</t>
  </si>
  <si>
    <t>Attendance Sheet (Training)</t>
  </si>
  <si>
    <t>Quit Claim Form</t>
  </si>
  <si>
    <t>Log Book (Release of Check)</t>
  </si>
  <si>
    <t>Globe - Text Blast</t>
  </si>
  <si>
    <t>Intellicare - Health Care Provider</t>
  </si>
  <si>
    <t>Staff Alliance - housekeeping, seasonal, clerical employees</t>
  </si>
  <si>
    <t>Skillex - access to HRIS; the filing of their documents including the 201 files</t>
  </si>
  <si>
    <t>Extra Ordinaire - facilities for Stores/Finance/IT</t>
  </si>
  <si>
    <t>EXECUTIVE ADMIN</t>
  </si>
  <si>
    <t>Old System</t>
  </si>
  <si>
    <t>ID Now - for ID processing</t>
  </si>
  <si>
    <t>Ref. No.</t>
  </si>
  <si>
    <t>Data Processing System (DPS)</t>
  </si>
  <si>
    <t>Description of DPS</t>
  </si>
  <si>
    <t>Purpose of Processing</t>
  </si>
  <si>
    <t>Name of the Information and Communications System and Other Filing System</t>
  </si>
  <si>
    <t>Outsourced? 
(Yes or No)</t>
  </si>
  <si>
    <t>Category of Data Subject</t>
  </si>
  <si>
    <t>Category of Personal Data</t>
  </si>
  <si>
    <t>Category of Recipient</t>
  </si>
  <si>
    <t>Processed Outside the Philippines?</t>
  </si>
  <si>
    <t>Name and Address of the Controller:</t>
  </si>
  <si>
    <t>Ulticon Builders, Incorporated located at Don Julian Rodriguez Sr. Avenue, Ulticon Builders Compound, Davao City, Davao del Sur, Philippines, 8000</t>
  </si>
  <si>
    <t>Name of the Data Protection Officer:</t>
  </si>
  <si>
    <t>Mr. Juanito Aban</t>
  </si>
  <si>
    <t>This document provides a record of the data processing systems (DPS) of Ulticon Builders, Inc. As defined under NPC Circular 17-01, “Data Processing System refers to a structure and procedure by which personal data is collected and further processed in an information and communications system or relevant filing system, including the purpose and intended output of the processing”.</t>
  </si>
  <si>
    <t>Recruitment Hub (Jobstreet.com)
UBI Automated System (UBIAS)</t>
  </si>
  <si>
    <t>No</t>
  </si>
  <si>
    <t>External</t>
  </si>
  <si>
    <t>External, Tracking</t>
  </si>
  <si>
    <t>Training</t>
  </si>
  <si>
    <t>Trains the new hires as applicable</t>
  </si>
  <si>
    <t>Translates the personnel data (i.e., timekeeping, personnel movements during the payroll period, promotions, changes in benefits, etc.) into peso terms in order to arrive at net pay</t>
  </si>
  <si>
    <t>UBIAS
Daily Time Record System (DTRS)</t>
  </si>
  <si>
    <t xml:space="preserve"> External, Financial, Social, Tracking</t>
  </si>
  <si>
    <t>Cease the employment of a regular employee of the Company</t>
  </si>
  <si>
    <t>UBIAS</t>
  </si>
  <si>
    <t>UBIAS
Ticketing System</t>
  </si>
  <si>
    <t>External and Internal</t>
  </si>
  <si>
    <t>Internal, External, Financial, Social, Tracking</t>
  </si>
  <si>
    <t>Facilitates database storage and back-up</t>
  </si>
  <si>
    <t>Selects potential supplier/ service provider and facilitates maintenance of vendor masterfile and safekeeping of vendor-related documents</t>
  </si>
  <si>
    <t>External, Financial, Social, Tracking</t>
  </si>
  <si>
    <t>Sourcing, screening and selection of qualified applicants for the available position/s that have been identified and aproved in the Company's organizational structure.</t>
  </si>
  <si>
    <t>Trainings to be conducted to the new hires (i.e, orientation about the Company and Company's policies, Environmental Management System (ISO 14001:2004), safety, property, warehouse, logistics, PMS and docuements control).</t>
  </si>
  <si>
    <t>Covers the vendor accreditation and evaluation, masterfile maintenance and safekeeping of vendor-related documents</t>
  </si>
  <si>
    <t>Vendor Management</t>
  </si>
  <si>
    <t>Payroll Processing, Annualization, and Other Benefits Monitoring (e.g., contributions and loans)</t>
  </si>
  <si>
    <t>Vicinity Access Management</t>
  </si>
  <si>
    <t>Performance Appraisal</t>
  </si>
  <si>
    <t>Grievance Handling</t>
  </si>
  <si>
    <t>Employee Relations</t>
  </si>
  <si>
    <t>Cessation of Employment</t>
  </si>
  <si>
    <t>Handling of employee's violations with the Company's Code of Conduct</t>
  </si>
  <si>
    <t>Sharing or transfer of employee's data to/ from other entity</t>
  </si>
  <si>
    <t>Vicinity Access Management (Security and Visitor Management)</t>
  </si>
  <si>
    <t>Employee Master File Maintenance (201 Processing)</t>
  </si>
  <si>
    <t>Covers cessation of employment by any of a number of reasons, such as resignation, retirement and termination of the employees of the Company</t>
  </si>
  <si>
    <t>Sourcing of Heavy Equipment Services</t>
  </si>
  <si>
    <t>Procurement and Logistics</t>
  </si>
  <si>
    <t>Equipment Division</t>
  </si>
  <si>
    <t>Legend:</t>
  </si>
  <si>
    <t>BPL</t>
  </si>
  <si>
    <t>DIC</t>
  </si>
  <si>
    <t>EFS</t>
  </si>
  <si>
    <t>HRD</t>
  </si>
  <si>
    <t>PBQ</t>
  </si>
  <si>
    <t>PUR</t>
  </si>
  <si>
    <t>Purchasing</t>
  </si>
  <si>
    <t>QAT</t>
  </si>
  <si>
    <t>RAI</t>
  </si>
  <si>
    <t>TAW</t>
  </si>
  <si>
    <t>WHS</t>
  </si>
  <si>
    <t>Warehousing</t>
  </si>
  <si>
    <t>February 20 and 21</t>
  </si>
  <si>
    <r>
      <t xml:space="preserve">Finance and  </t>
    </r>
    <r>
      <rPr>
        <sz val="11"/>
        <color rgb="FFFF0000"/>
        <rFont val="Calibri"/>
        <family val="2"/>
        <scheme val="minor"/>
      </rPr>
      <t>Engineering</t>
    </r>
  </si>
  <si>
    <t>February 22 and 23</t>
  </si>
  <si>
    <t>Vacant</t>
  </si>
  <si>
    <t>February 26 and 27</t>
  </si>
  <si>
    <t>HRD/ Admin Security/ MIS</t>
  </si>
  <si>
    <t>February 28 and March 1</t>
  </si>
  <si>
    <t>DEPARTMENT</t>
  </si>
  <si>
    <t>Date</t>
  </si>
  <si>
    <t>Day</t>
  </si>
  <si>
    <t>M</t>
  </si>
  <si>
    <t>T</t>
  </si>
  <si>
    <t>W</t>
  </si>
  <si>
    <t>F</t>
  </si>
  <si>
    <t>MIS</t>
  </si>
  <si>
    <t>Procurement &amp;
Logistics</t>
  </si>
  <si>
    <t>Finance &amp;
Engineering</t>
  </si>
  <si>
    <t>Bidding Process</t>
  </si>
  <si>
    <t>CONFIRMED SCHEDULE:</t>
  </si>
  <si>
    <t>Monitoring of employee's attendance and whereabouts to ensure that work schedules are adhered to by all</t>
  </si>
  <si>
    <t>Covers other concerns related to employee's requests (i.e., certificate of employment, medical records, background check of employees by an interested party)</t>
  </si>
  <si>
    <t>Filing, monitoring and safekeeping including control of employee master file (201) of each employees</t>
  </si>
  <si>
    <t>Timekeeping, (Attendance, Overtime, Leaves and Official Business)</t>
  </si>
  <si>
    <t>Monitoring of attendance, overtime, leaves, official business, etc. Translate such personnel data into peso terms in order to arrive at net pay</t>
  </si>
  <si>
    <t>Evaluation and measurement of individual employee's performance againsts standards and expectations set for the job for which he/she has been hired</t>
  </si>
  <si>
    <t xml:space="preserve">Recognize and reward an employee’s positive attributes, or on the other hand, to cite areas where he/she could improve
</t>
  </si>
  <si>
    <t>Accommodate loan applications and other purposes whatsoever with other engaged entity</t>
  </si>
  <si>
    <t xml:space="preserve">Accommodate employee requests </t>
  </si>
  <si>
    <t>• Inputs and maintains the employee information in the system
• Facilitates granting of access rights to employees in UBIAS</t>
  </si>
  <si>
    <t>Bidding Proces</t>
  </si>
  <si>
    <t>To take a disciplinary action against the erring employee after giving him/her a due process</t>
  </si>
  <si>
    <t>Cater the business requirements (i.e., heavy equipment services) of each project by outsourcing to third service providers</t>
  </si>
  <si>
    <t>Outsourcing of heavy equipment services</t>
  </si>
  <si>
    <t>Bidding of government projects including preparation of requirements, submission of documents and coordination with operations (e.g., project engineers) to start the construction project once awarded to the Company</t>
  </si>
  <si>
    <t>To award the project to the Company</t>
  </si>
  <si>
    <t>Department/ Unit</t>
  </si>
  <si>
    <t>Human Resource Department (HRD)</t>
  </si>
  <si>
    <t>Management Information Systems (MIS)</t>
  </si>
  <si>
    <t>Purchasing Department</t>
  </si>
  <si>
    <t>Admin Security</t>
  </si>
  <si>
    <t>Finance Department</t>
  </si>
  <si>
    <t>Engineering Department</t>
  </si>
  <si>
    <t>Applicant</t>
  </si>
  <si>
    <t>Vendor</t>
  </si>
  <si>
    <t>Visitor/ Guest</t>
  </si>
  <si>
    <t>Project Engineers</t>
  </si>
  <si>
    <t>Personnel of Outsourced Service Provider</t>
  </si>
  <si>
    <t>Jobstreet</t>
  </si>
  <si>
    <t>NA</t>
  </si>
  <si>
    <t>Ensure employees' history and present activities in the Company are documented from pre to post employment</t>
  </si>
  <si>
    <t>Screening and monitoring of visitors of the Company to ensure that only authorized visitors will be able to enter in the Company's premises and monitor their activity</t>
  </si>
  <si>
    <t xml:space="preserve">Computation of amount of money that the Company pay to its employees who are entitled to receive salaries and other compensation items at regular intervals and on specified dates.  </t>
  </si>
  <si>
    <t>HRIS</t>
  </si>
  <si>
    <t>with flowchart already</t>
  </si>
  <si>
    <t>Storage and back-up management</t>
  </si>
  <si>
    <t>User Access Management</t>
  </si>
  <si>
    <t>None.</t>
  </si>
  <si>
    <t>Invite and select the most qualified applicants who possess the specified job qualifications, skills and competencies, and espouse the values of the Company</t>
  </si>
  <si>
    <t>Yes (Jobstreet functions)</t>
  </si>
  <si>
    <t>Loan's Processing</t>
  </si>
  <si>
    <t>Ulticon Buider's, Incorporated (JET-PRO International Financing Corporation as PIC)</t>
  </si>
  <si>
    <t>What are the types of loans?</t>
  </si>
  <si>
    <t>User Access Management and Handling of Employee Information</t>
  </si>
  <si>
    <t>Recruitment and Placement</t>
  </si>
  <si>
    <t>Visitor Management System</t>
  </si>
  <si>
    <t>Compensation and Benefits Management</t>
  </si>
  <si>
    <t>Construction Management</t>
  </si>
  <si>
    <t>Volunteer Profiling</t>
  </si>
  <si>
    <t>Membership Movement Reporting</t>
  </si>
  <si>
    <t>Trainings</t>
  </si>
  <si>
    <t>Employee Master File Maintenance</t>
  </si>
  <si>
    <t>Timekeeping</t>
  </si>
  <si>
    <t>Processing of Insurance Applications</t>
  </si>
  <si>
    <t>Database Management System</t>
  </si>
  <si>
    <t>Internal Audit Process</t>
  </si>
  <si>
    <t>Notarization of Loan Documents</t>
  </si>
  <si>
    <t>Case Management</t>
  </si>
  <si>
    <t>Deposits</t>
  </si>
  <si>
    <t>Withdrawals</t>
  </si>
  <si>
    <t>Remittances to Cashier</t>
  </si>
  <si>
    <t>Collection Process</t>
  </si>
  <si>
    <t>Loans Processing</t>
  </si>
  <si>
    <t>Ensures compliance of the Cooperative to relevant laws and regulations such as the Cooperative Code, Credit Information System Act, Tax Code, DPA and etc.</t>
  </si>
  <si>
    <t>In charge of providing legal assistance to the Cooperative's stakeholders in case of litigation, disputes and other legal matters.</t>
  </si>
  <si>
    <t>Employees and visitors' log in and log out and CCTV videos</t>
  </si>
  <si>
    <t>Accommodate loan applications.</t>
  </si>
  <si>
    <t>Accommodate loan restructuring.</t>
  </si>
  <si>
    <t>Accomodates collection of receivables.</t>
  </si>
  <si>
    <t>Accomodates deliquent accounts.</t>
  </si>
  <si>
    <t>Processes application for membership and requirements.</t>
  </si>
  <si>
    <t>Processes members' withdrawals.</t>
  </si>
  <si>
    <t>Processes members deposits</t>
  </si>
  <si>
    <t>Processes  disbursements made to vendors and suppliers.</t>
  </si>
  <si>
    <t>Creation of members' PIN.</t>
  </si>
  <si>
    <t>Processes withdrawal of membership.</t>
  </si>
  <si>
    <t>Processing of member's transfer of branch.</t>
  </si>
  <si>
    <t>Processes cash advance made by employees.</t>
  </si>
  <si>
    <t>Processing of interbranch withdrawal of member.</t>
  </si>
  <si>
    <t>Notarization of loan documents.</t>
  </si>
  <si>
    <t>Storage and retention of the database.</t>
  </si>
  <si>
    <t>Expense Reporting</t>
  </si>
  <si>
    <t>Identification of buyers and processing of sale transaction.</t>
  </si>
  <si>
    <t>Profiling of volunteers.</t>
  </si>
  <si>
    <t>Reporting of membership movement.</t>
  </si>
  <si>
    <t>Processing of employees compensation.</t>
  </si>
  <si>
    <t>Processing of employees cash advances.</t>
  </si>
  <si>
    <t>Processing of disbursements made to suppliers and vendors.</t>
  </si>
  <si>
    <t>Maintenance of employees master file.</t>
  </si>
  <si>
    <t>Logs employees attendance, overtime, leaves, official business and tardiness.</t>
  </si>
  <si>
    <t>Evaluation of employees performance.</t>
  </si>
  <si>
    <t>Processes employees resignation, retirement, termination and end of contract.</t>
  </si>
  <si>
    <t>Handling grievances of employees including disciplinary actions.</t>
  </si>
  <si>
    <t>Processing of collaterals for foreclosures.</t>
  </si>
  <si>
    <t>Processing of construction projects.</t>
  </si>
  <si>
    <t>Processing of repairs and maintenance of PPE.</t>
  </si>
  <si>
    <t>Facilitation of trainings to employees.</t>
  </si>
  <si>
    <t>Facilitation of seminars to prospective members.</t>
  </si>
  <si>
    <t>Preparation and reporting of Cooperative's financial position and operations.</t>
  </si>
  <si>
    <t xml:space="preserve">Processes insurance applications of members and facilitates submission of applications and supporting documents to insurance providers </t>
  </si>
  <si>
    <t>Processing of other services which include payment of 4Ps, Skydirect subscriptions, GCash services, shell and petron fleetcard application, and availment of business cap from Globe Telecom (modified Globe SIM card).</t>
  </si>
  <si>
    <t>Management of granting access rights.</t>
  </si>
  <si>
    <t>Management of IT related incidents such as laptop repairs, concerns related to the information system, etc.</t>
  </si>
  <si>
    <t>Audit of the Cooperatives financial and nonfinancial operations.</t>
  </si>
  <si>
    <t>Management of cases involving the Cooperative.</t>
  </si>
  <si>
    <t>Compliance of the Cooperative to relevant laws and regulations.</t>
  </si>
  <si>
    <t>Provides legal assistance to the Cooperative's stakeholders.</t>
  </si>
  <si>
    <t>Management of cash in vault for deposit.</t>
  </si>
  <si>
    <t>Remittance, safe keeping and documentation of cash remitted.</t>
  </si>
  <si>
    <t xml:space="preserve">First Community Cooperative Main Office, located at Fernandez – Corrales Sts., Cagayan de Oro City, Philippines, 9000 </t>
  </si>
  <si>
    <t xml:space="preserve">This document provides a record of the data processing systems (DPS) of First Community Cooperative (FICCO) As defined under NPC Circular 17-01, “Data Processing System refers to a structure and procedure by which personal data </t>
  </si>
  <si>
    <t>is collected and further processed in an information and communications system or relevant filing system, including the purpose and intended output of the processing”.</t>
  </si>
  <si>
    <t>Managed As?</t>
  </si>
  <si>
    <t>Type of DPS
(Manual/ Paper-based, Electronic, Both)</t>
  </si>
  <si>
    <t>Does the process involved fully automated decision making?</t>
  </si>
  <si>
    <t>Will the decision significantly affect the data subject?</t>
  </si>
  <si>
    <t>Name of Outsourced Service Provider (PIP)</t>
  </si>
  <si>
    <t>Is there any subcontracting agreement</t>
  </si>
  <si>
    <t>Function/ Scope Outsourced</t>
  </si>
  <si>
    <t>Will the personal information be transferred outside the Philippines?</t>
  </si>
  <si>
    <t>Category of Personal Data  (based on DPA (PI, SPI)</t>
  </si>
  <si>
    <t>To  whom will the personal data be disclosed? (i.e., through a data sharing model)</t>
  </si>
  <si>
    <t>Sector (Public or Private)</t>
  </si>
  <si>
    <t>Organization Name</t>
  </si>
  <si>
    <t>X</t>
  </si>
  <si>
    <t>Both</t>
  </si>
  <si>
    <t>AFS</t>
  </si>
  <si>
    <t>Manages the database of the Cooperative including storage and back-ups</t>
  </si>
  <si>
    <t>-Personal Information
-Sensitive Personal Information</t>
  </si>
  <si>
    <t>Member</t>
  </si>
  <si>
    <t>Private</t>
  </si>
  <si>
    <t>- Cooperative Insurance System of the Philippines (CISP) for life insurance policies,
- R&amp;B Insurance Inc. for non-life insurance policies
- Cooperative Health Management Federation (CHMF) for health insurance policies</t>
  </si>
  <si>
    <t>Members</t>
  </si>
  <si>
    <t>Globe Telecom, Land Bank of the Philippines, Skydirect, Shell, Petron</t>
  </si>
  <si>
    <t>Administrative Department</t>
  </si>
  <si>
    <t xml:space="preserve">Asset Management </t>
  </si>
  <si>
    <t>Education and Training Committee</t>
  </si>
  <si>
    <t>Human Resource Department</t>
  </si>
  <si>
    <t>Insurance and Non-banking Department</t>
  </si>
  <si>
    <t>Information Technology Department</t>
  </si>
  <si>
    <t>Internal Audit Department</t>
  </si>
  <si>
    <t>Legal Department</t>
  </si>
  <si>
    <t>Branch operations-Accounting Department</t>
  </si>
  <si>
    <t>Branch operations-Cash Department</t>
  </si>
  <si>
    <t>Branch operations-Collections Department</t>
  </si>
  <si>
    <t>Branch operations-Loans Department</t>
  </si>
  <si>
    <t>Treasury Department</t>
  </si>
  <si>
    <t>Manages and monitors of construction projects of the Cooperative</t>
  </si>
  <si>
    <t>Monitors employees and visitors' log in and log out to ensure  only authorized employees and visitors may enter the Cooperative's premises</t>
  </si>
  <si>
    <t>Facilitates processing of foreclosure of collaterals (i.e., real and personal property) to pursue collection of receivables from delinquent borrowers</t>
  </si>
  <si>
    <t>Facilitates  sale of foreclosed real and personal properties and collect the receivables from the sales proceeds as payment of delinquent borrowers</t>
  </si>
  <si>
    <t>Handling of repairs and maintenance of  the Cooperative's property and equipment</t>
  </si>
  <si>
    <t>Facilitates bidding process (ie., from vendor sourcing to selection) for the Cooperative's procurement of goods and services</t>
  </si>
  <si>
    <t>Generates financial statements and supporting schedules of the Cooperative and reports branch and business center's performance to the management, board members and stakeholders</t>
  </si>
  <si>
    <t>Processes insurance applications of members and facilitates submission of applications and supporting documents to respective insurance providers</t>
  </si>
  <si>
    <t>Maintains employee's history documentations from pre to post employment</t>
  </si>
  <si>
    <t>Monitors attendance, overtime, leaves, official business and tardiness of employees</t>
  </si>
  <si>
    <t>In charge of recognizing and rewarding employee’s positive attributes, or cite areas of improvement</t>
  </si>
  <si>
    <t>Processes cessation of employment (ie., resignation, retirement, termination, end of contract) of Cooperative's employees</t>
  </si>
  <si>
    <t>In charges of  bringing disciplinary action to erring employee, with given due process</t>
  </si>
  <si>
    <t>Manages other services being offered to members by the partners of the Cooperative. Other services include payment of 4Ps, Skydirect subscriptions, GCash services, shell and petron credit purchases, and availment of business capped plan from Globe Telecom, credit purchases with discounts of OPPO smartphones and Pureit water purifier from Unilever Philippines</t>
  </si>
  <si>
    <t>Program Change Management</t>
  </si>
  <si>
    <t>Manages incidents related to IT (e.g., laptop repairs)</t>
  </si>
  <si>
    <t>Manages granting of access rights (user account creation, modification, and deactivation) in the system and ensure appropriate access levels in accordance with the job description</t>
  </si>
  <si>
    <t>Covers changes/ updates of modifications in the system of the Cooperative</t>
  </si>
  <si>
    <t>Provides independent, objective assurance and consulting activity designed to add value and improve Cooperative’s operations. It helps the Cooperative to accomplish its objectives by bringing a systematic, disciplined approach to evaluate and improve the effectiveness of risk management, control and governance processes</t>
  </si>
  <si>
    <t>Processes notarization of loan documents (i.e., promissory notes)</t>
  </si>
  <si>
    <t>In-charge of ensuring immediate resolution of cases involving the Cooperative</t>
  </si>
  <si>
    <t>Processes disbursements of the branches and ensure its validity, accuracy, and adequacy</t>
  </si>
  <si>
    <t>Processes cash advances of main office's employees</t>
  </si>
  <si>
    <t>Processes cash advances of branch's employees</t>
  </si>
  <si>
    <t>Facilitate in issuing PIN code to member's accounts</t>
  </si>
  <si>
    <t>Manages membership withdrawal</t>
  </si>
  <si>
    <t>Manages transfer of membership from originating branch to another</t>
  </si>
  <si>
    <t>Interbranch Withdrawal</t>
  </si>
  <si>
    <t>Bidding Process (For General Assembly Only)</t>
  </si>
  <si>
    <t>New Accounts Management</t>
  </si>
  <si>
    <t>Loan Restructuring</t>
  </si>
  <si>
    <t>Caters interbranch withdrawal of the member</t>
  </si>
  <si>
    <t>Manages vault operations such as opening and closing of cash-in-vault, access of authorized personnel, etc.</t>
  </si>
  <si>
    <t>Processes deposits of the members and ensures that deposits are recorded and properly supported</t>
  </si>
  <si>
    <t>Processes withdrawals of the members and ensures that withdrawals are recorded and properly supported</t>
  </si>
  <si>
    <t>Ensures that cash are remitted, safekept, recorded and properly supported</t>
  </si>
  <si>
    <t>Processes application and related requirements form membership to ensure eligibility of the applicants</t>
  </si>
  <si>
    <t>In-charge in the collection of receivables from borrowers</t>
  </si>
  <si>
    <t>In-charge of handling delinquent accounts by referring it to legal department  to pursue collection from the borrowers</t>
  </si>
  <si>
    <t>In-charge of providing other options for settlement of the borrowers with delinquent accounts</t>
  </si>
  <si>
    <t>Handling and management of loans to ensure that loans are granted to eligible members, authorized, recorded and properly supported</t>
  </si>
  <si>
    <t>Facilitates trainings of the Cooperative's employees for continuous development and career growth</t>
  </si>
  <si>
    <t>Facilitates the conduct of pre-membership seminars</t>
  </si>
  <si>
    <t>Obtains personal information of volunteers and monitors whether volunteers are active or inactive</t>
  </si>
  <si>
    <t>Prepares reports to the management and board of directors about the membership movement (i.e., new, inactive / dormant, and withdrawal) of the Cooperative on a monthly basis</t>
  </si>
  <si>
    <t>Reports to the Finance department the expenses incurred during trainings and seminars, and all other expenses charged to EdCom</t>
  </si>
  <si>
    <t>Facilitates in bidding of services related to preparation of General Assembly. Services availed are printing of reports and other materials, calendars and other souvenir items</t>
  </si>
  <si>
    <t>In-charge in translating the personnel data (i.e., timekeeping, personnel movements during the payroll period, promotions, changes in benefits, etc.) into peso terms in order to arrive at net pay. Also, in-charge in compliance with the statutory requirements (e.g. SSAct, Philhealth Law, HDMF Act, Tax Code and Labor Code)</t>
  </si>
  <si>
    <t>Monitoring of employees and visitors' log in and log out to ensure  only authorized employees and visitors may enter the Cooperative's premises</t>
  </si>
  <si>
    <t>Processing of foreclosure of collaterals (i.e., real and personal property) to pursue collection of receivables from delinquent borrowers</t>
  </si>
  <si>
    <t>Processing of sale of foreclosed real and personal properties and use the sales proceeds as payment of delinquent borrowers</t>
  </si>
  <si>
    <t>Monitoring of construction projects of the Cooperative</t>
  </si>
  <si>
    <t>Facilitates trainings for employees' continuous development and career growth</t>
  </si>
  <si>
    <t>Collects personal information of volunteers and monitors whether volunteers are active or inactive</t>
  </si>
  <si>
    <t>Prepares monthly reports to the management and board of directors about the membership movement (i.e., new, inactive / dormant, and withdrawal)</t>
  </si>
  <si>
    <t>Prepares reports about expenses incurred during trainings and seminars, and all other expenses to the Finance department</t>
  </si>
  <si>
    <t>Facilitates in bidding of services like printing of reports and other materials, calendars and other souvenir items related to preparation of General Assembly</t>
  </si>
  <si>
    <t>Generates financial statements and supporting schedules, reports branch and business center's performance to the management, board members and stakeholders</t>
  </si>
  <si>
    <t>In charge of recognizing employee’s positive attributes, or cite areas of improvement</t>
  </si>
  <si>
    <t>Processes resignation, retirement, termination and/or end of contract employees</t>
  </si>
  <si>
    <t>Manages other services being offered to members by the partners of the Cooperative such as payment of 4Ps, Skydirect subscriptions, GCash services, shell and petron credit purchases, and availment of business capped plan from Globe Telecom, credit purchases with discounts of OPPO smartphones and Pureit water purifier from Unilever Philippines</t>
  </si>
  <si>
    <t>Manages the database including storage and back-ups</t>
  </si>
  <si>
    <t>Establishes policies  and procedures of the Cooperative that provide a general strategy to decision-makers on how to handle issues as they arise</t>
  </si>
  <si>
    <t>Heads Cooperative-wide activities such as fun run, Sportsfest and others</t>
  </si>
  <si>
    <t>No personal data is being processed</t>
  </si>
  <si>
    <t>Data is shared to HR and IT department</t>
  </si>
  <si>
    <t>Prepares reports such as financial statements, list of investments with terms and income and monthly cash position of branches to be submitted to Treasury committee and chief accountant</t>
  </si>
  <si>
    <t>Bookkeeps transactions of the main office</t>
  </si>
  <si>
    <t>Safekeeps investment papers, certificates and other documents</t>
  </si>
  <si>
    <t>Recommends where to invest excess funds of the Cooperative as well as seek out, negotiate, and place funds into reliable, good yielding instruments and institutions</t>
  </si>
  <si>
    <t>Responsible in monitoring the monthly excess funds of all branches and provides report to be submitted to the CEO</t>
  </si>
  <si>
    <t>Manages the investment portfolio to fund: withdrawals, CAPEX needs, contingencies and other operational needs</t>
  </si>
  <si>
    <t xml:space="preserve">Preparation of reports such as financial statements, list of investments with terms and income and monthly cash position of branches </t>
  </si>
  <si>
    <t>Bookkeepping of financial transactions of the main office</t>
  </si>
  <si>
    <t>Pre-Membership Seminar (PMS)</t>
  </si>
  <si>
    <t>Processes disbursements of the main office and ensure its validity, accuracy, and adequacy</t>
  </si>
  <si>
    <t>Creation of Personal Identification Number (PIN)</t>
  </si>
  <si>
    <t>Cash-In-Vault Management</t>
  </si>
  <si>
    <t>Foreclosure of Collaterals (i.e., Real and Personal Properties) of Deliquent Borrowers</t>
  </si>
  <si>
    <t>Sale of Foreclosed Real and Personal Properties</t>
  </si>
  <si>
    <t>Maintenance of Property And Equipment</t>
  </si>
  <si>
    <t>Financial Statement Closing Process and Reporting</t>
  </si>
  <si>
    <t>Bookkeeping of the Treasury Unit Books</t>
  </si>
  <si>
    <t>Flush out Excess Funds from Branches</t>
  </si>
  <si>
    <t>Manage the Investment Portfolio to Fund</t>
  </si>
  <si>
    <t>Management of Other Services</t>
  </si>
  <si>
    <t>Legal Assistance to the Cooperative in Compliance with Relevent Laws and Regulations (e.g., Cooperative Code, Credit Information System Act, Tax Code, etc.)</t>
  </si>
  <si>
    <t>Legal Assistance to the Cooperative's Directors, Officers, Employees and other Stakeholders</t>
  </si>
  <si>
    <t>Withdrawal of Membership</t>
  </si>
  <si>
    <t>Interbranch Transfer of Members</t>
  </si>
  <si>
    <t>Handling of Delinquent Accounts Referred to Legal</t>
  </si>
  <si>
    <t>Disbursement Process (main office)</t>
  </si>
  <si>
    <t>Disbursement Process (branch operations)</t>
  </si>
  <si>
    <t>Cash Advances of Employees (main office)</t>
  </si>
  <si>
    <t>Cash Advances of Employees (branch operations)</t>
  </si>
  <si>
    <t>In-charge of inviting and selecting the most qualified applicants who possess the specified job qualifications, skills and competencies, and espouse the values of the Cooperative. Processes employees' apprenticeship, probationary and regularization</t>
  </si>
  <si>
    <t>Preparation and formalization of Cooperative's Policies and Procedures</t>
  </si>
  <si>
    <t>Creates policies  and procedures of the Cooperative that provide a general strategy to decision-makers on how to handle issues as they arise</t>
  </si>
  <si>
    <t>Management of Cooperative-wide Activities</t>
  </si>
  <si>
    <t>Performs overall management of Cooperative's activities such as fun run, sportsfest, teambuilding and others</t>
  </si>
  <si>
    <t>Management Reporting</t>
  </si>
  <si>
    <t>Management of Investments</t>
  </si>
  <si>
    <t>Responsible in monitoring the monthly excess funds of all branches and provides report to be submitted to the senior management</t>
  </si>
  <si>
    <t>Custody of Investments</t>
  </si>
  <si>
    <t>In-charge of recruiting the most qualified applicants who possess the specified job qualifications, skills and competencies, and values. Processes employees' apprenticeship, probationary and regularization</t>
  </si>
  <si>
    <t>Processing of applications and onboarding such asapprenticeship, probationary and regularization</t>
  </si>
  <si>
    <t>Prepares reports such as financial statements, list of investments with terms and income, and monthly cash position of branches to be submitted to the management and the board</t>
  </si>
  <si>
    <t>No.</t>
  </si>
  <si>
    <t>Department/ Business Process</t>
  </si>
  <si>
    <t>Legal Assistance to the Cooperative in Compliance with Relevent Laws and Regulations</t>
  </si>
  <si>
    <t>Vault Management</t>
  </si>
  <si>
    <t>Processing insurance applications of members and facilitates submission of applications and supporting documents to respective insurance providers</t>
  </si>
  <si>
    <t>Branch operations -Loans Department</t>
  </si>
  <si>
    <t>Branch operations -Cash Department</t>
  </si>
  <si>
    <t>Name</t>
  </si>
  <si>
    <t>Department</t>
  </si>
  <si>
    <t>Human Resource Information System</t>
  </si>
  <si>
    <t>DPS Group</t>
  </si>
  <si>
    <t>DPS Included</t>
  </si>
  <si>
    <t>Membership</t>
  </si>
  <si>
    <t>Insurance and Non-Banking Services</t>
  </si>
  <si>
    <t>Legal Process</t>
  </si>
  <si>
    <t>Branch operations-Accounting</t>
  </si>
  <si>
    <t>Branch operations -Loans</t>
  </si>
  <si>
    <t>Branch operations-Collections</t>
  </si>
  <si>
    <t>Branch operations -Cash Management</t>
  </si>
  <si>
    <t>Disbursement Process</t>
  </si>
  <si>
    <t>Cash Advances of Employees</t>
  </si>
  <si>
    <t xml:space="preserve">               FIRST COMMUNITY COOPERATIVE
               PRIVACY IMPACT ASSESSMENT
               THRESHOLD ANALYSIS</t>
  </si>
  <si>
    <t xml:space="preserve">                 FIRST COMMUNITY COOPERATIVE
                 PRIVACY IMPACT ASSESSMENT
                 THRESHOLD ANALYSIS</t>
  </si>
  <si>
    <t>Mr. Shiellou P. Jaboga</t>
  </si>
  <si>
    <t>Customer Service Support / Inquiry</t>
  </si>
  <si>
    <t>Provides customer service support by addressing inquiries, resolving issues, and offering assistance to ensure a positive experience for members.</t>
  </si>
  <si>
    <t>Processing of Insurance Claims</t>
  </si>
  <si>
    <t>Facilitates the submission of insurance claims and supporting documents from members to the respective insurance providers. Manages the assessment and resolution of claims by reviewing their validity based on policy terms and making informed decisions on approval or denial.</t>
  </si>
  <si>
    <t>Policy Management and Renewal</t>
  </si>
  <si>
    <t>Manages the issuance, updating, and renewal of insurance policies, ensuring policyholders are informed and policies are kept current.</t>
  </si>
  <si>
    <t>Customer Feedback and Quality Improvement</t>
  </si>
  <si>
    <t>Collects and analyzes customer feedback to identify areas for improvement, implementing changes to enhance service quality and customer satisfaction.</t>
  </si>
  <si>
    <t>Collects and verifies personal details, financial information, and identification documents from applicants.</t>
  </si>
  <si>
    <t>Gathers and processes personal information from customers to address inquiries, resolve issues, and provide support.</t>
  </si>
  <si>
    <t>Collects and processes personal data related to claims, including incident details, supporting documents, and claimant information.</t>
  </si>
  <si>
    <t>Manages personal information for policy issuance, updates, and renewals, including contact details and policyholder status.</t>
  </si>
  <si>
    <t>Collects and analyzes personal data from customer feedback to improve service quality and address concerns.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</si>
</sst>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9" x14ac:knownFonts="1">
    <font>
      <sz val="11"/>
      <color theme="1"/>
      <name val="Calibri"/>
      <family val="2"/>
      <scheme val="minor"/>
    </font>
    <font>
      <b/>
      <sz val="11"/>
      <color theme="0"/>
      <name val="Calibri"/>
      <family val="2"/>
      <scheme val="minor"/>
    </font>
    <font>
      <b/>
      <sz val="11"/>
      <color theme="1"/>
      <name val="Calibri"/>
      <family val="2"/>
      <scheme val="minor"/>
    </font>
    <font>
      <sz val="9"/>
      <color indexed="81"/>
      <name val="Tahoma"/>
      <family val="2"/>
    </font>
    <font>
      <b/>
      <sz val="9"/>
      <color indexed="81"/>
      <name val="Tahoma"/>
      <family val="2"/>
    </font>
    <font>
      <sz val="12"/>
      <color theme="1"/>
      <name val="Webdings"/>
      <family val="1"/>
      <charset val="2"/>
    </font>
    <font>
      <i/>
      <sz val="11"/>
      <color theme="1"/>
      <name val="Calibri"/>
      <family val="2"/>
      <scheme val="minor"/>
    </font>
    <font>
      <b/>
      <sz val="11"/>
      <name val="Calibri"/>
      <family val="2"/>
      <scheme val="minor"/>
    </font>
    <font>
      <sz val="11"/>
      <color theme="1"/>
      <name val="Calibri"/>
      <family val="2"/>
      <scheme val="minor"/>
    </font>
    <font>
      <sz val="11"/>
      <color rgb="FFFF0000"/>
      <name val="Calibri"/>
      <family val="2"/>
      <scheme val="minor"/>
    </font>
    <font>
      <b/>
      <i/>
      <sz val="8"/>
      <color theme="0"/>
      <name val="Calibri"/>
      <family val="2"/>
      <scheme val="minor"/>
    </font>
    <font>
      <sz val="11"/>
      <name val="Calibri"/>
      <family val="2"/>
      <scheme val="minor"/>
    </font>
    <font>
      <b/>
      <sz val="20"/>
      <color theme="0"/>
      <name val="Helvetica Rounded"/>
      <family val="3"/>
    </font>
    <font>
      <sz val="11"/>
      <color theme="1"/>
      <name val="Helvetica Rounded"/>
      <family val="3"/>
    </font>
    <font>
      <b/>
      <sz val="16"/>
      <color theme="0"/>
      <name val="Helvetica Rounded"/>
      <family val="3"/>
    </font>
    <font>
      <b/>
      <sz val="11"/>
      <color theme="0"/>
      <name val="Helvetica Rounded"/>
      <family val="3"/>
    </font>
    <font>
      <b/>
      <sz val="14"/>
      <color theme="0"/>
      <name val="Helvetica Rounded"/>
      <family val="3"/>
    </font>
    <font>
      <b/>
      <sz val="11"/>
      <color theme="1"/>
      <name val="Helvetica Rounded"/>
      <family val="3"/>
    </font>
    <font>
      <sz val="16"/>
      <color theme="5" tint="-0.249977111117893"/>
      <name val="Helvetica Rounded"/>
      <family val="3"/>
    </font>
    <font>
      <sz val="12"/>
      <color theme="1"/>
      <name val="Helvetica Rounded"/>
      <family val="3"/>
    </font>
    <font>
      <sz val="11"/>
      <color theme="1"/>
      <name val="Verdana"/>
      <family val="2"/>
    </font>
    <font>
      <sz val="16"/>
      <color theme="5" tint="-0.249977111117893"/>
      <name val="Segoe UI Symbol"/>
      <family val="2"/>
    </font>
    <font>
      <i/>
      <sz val="11"/>
      <color theme="1"/>
      <name val="Helvetica Rounded"/>
      <family val="3"/>
    </font>
    <font>
      <sz val="14"/>
      <color theme="1"/>
      <name val="Helvetica Rounded"/>
      <family val="3"/>
    </font>
    <font>
      <sz val="12"/>
      <color theme="1"/>
      <name val="Verdana"/>
      <family val="2"/>
    </font>
    <font>
      <sz val="11"/>
      <name val="Verdana"/>
      <family val="2"/>
    </font>
    <font>
      <b/>
      <sz val="11"/>
      <color rgb="FFC55A11"/>
      <name val="Calibri"/>
      <family val="2"/>
      <scheme val="minor"/>
    </font>
    <font>
      <b/>
      <sz val="11"/>
      <color rgb="FFC55A11"/>
      <name val="Verdana"/>
      <family val="2"/>
    </font>
    <font>
      <sz val="12"/>
      <color theme="1"/>
      <name val="Calibri"/>
      <family val="2"/>
      <scheme val="minor"/>
    </font>
  </fonts>
  <fills count="16">
    <fill>
      <patternFill patternType="none"/>
    </fill>
    <fill>
      <patternFill patternType="gray125"/>
    </fill>
    <fill>
      <patternFill patternType="solid">
        <fgColor theme="3" tint="-0.499984740745262"/>
        <bgColor indexed="64"/>
      </patternFill>
    </fill>
    <fill>
      <patternFill patternType="solid">
        <fgColor rgb="FFFFFF00"/>
        <bgColor indexed="64"/>
      </patternFill>
    </fill>
    <fill>
      <patternFill patternType="solid">
        <fgColor theme="3" tint="0.79998168889431442"/>
        <bgColor indexed="64"/>
      </patternFill>
    </fill>
    <fill>
      <patternFill patternType="solid">
        <fgColor theme="0"/>
        <bgColor indexed="64"/>
      </patternFill>
    </fill>
    <fill>
      <gradientFill degree="90">
        <stop position="0">
          <color rgb="FFFF0000"/>
        </stop>
        <stop position="1">
          <color rgb="FFC00000"/>
        </stop>
      </gradientFill>
    </fill>
    <fill>
      <patternFill patternType="solid">
        <fgColor theme="0" tint="-4.9989318521683403E-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3" tint="0.59999389629810485"/>
        <bgColor indexed="64"/>
      </patternFill>
    </fill>
    <fill>
      <gradientFill degree="90">
        <stop position="0">
          <color theme="4"/>
        </stop>
        <stop position="1">
          <color theme="4" tint="-0.25098422193060094"/>
        </stop>
      </gradientFill>
    </fill>
    <fill>
      <gradientFill degree="90">
        <stop position="0">
          <color theme="4"/>
        </stop>
        <stop position="1">
          <color theme="4" tint="-0.49803155613879818"/>
        </stop>
      </gradientFill>
    </fill>
    <fill>
      <gradientFill degree="90">
        <stop position="0">
          <color theme="3" tint="0.80001220740379042"/>
        </stop>
        <stop position="1">
          <color theme="3" tint="0.40000610370189521"/>
        </stop>
      </gradientFill>
    </fill>
    <fill>
      <patternFill patternType="solid">
        <fgColor theme="4"/>
        <bgColor indexed="64"/>
      </patternFill>
    </fill>
  </fills>
  <borders count="55">
    <border>
      <left/>
      <right/>
      <top/>
      <bottom/>
      <diagonal/>
    </border>
    <border>
      <left style="thin">
        <color indexed="64"/>
      </left>
      <right style="thin">
        <color indexed="64"/>
      </right>
      <top style="thin">
        <color indexed="64"/>
      </top>
      <bottom/>
      <diagonal/>
    </border>
    <border>
      <left style="thin">
        <color indexed="64"/>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theme="5"/>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rgb="FFC00000"/>
      </left>
      <right style="thin">
        <color indexed="64"/>
      </right>
      <top style="thin">
        <color rgb="FFC00000"/>
      </top>
      <bottom/>
      <diagonal/>
    </border>
    <border>
      <left style="thin">
        <color indexed="64"/>
      </left>
      <right style="thin">
        <color indexed="64"/>
      </right>
      <top style="thin">
        <color rgb="FFC00000"/>
      </top>
      <bottom/>
      <diagonal/>
    </border>
    <border>
      <left style="thin">
        <color indexed="64"/>
      </left>
      <right/>
      <top style="thin">
        <color rgb="FFC00000"/>
      </top>
      <bottom style="thin">
        <color indexed="64"/>
      </bottom>
      <diagonal/>
    </border>
    <border>
      <left/>
      <right style="thin">
        <color indexed="64"/>
      </right>
      <top style="thin">
        <color rgb="FFC00000"/>
      </top>
      <bottom style="thin">
        <color indexed="64"/>
      </bottom>
      <diagonal/>
    </border>
    <border>
      <left style="thin">
        <color indexed="64"/>
      </left>
      <right style="thin">
        <color rgb="FFC00000"/>
      </right>
      <top style="thin">
        <color rgb="FFC00000"/>
      </top>
      <bottom/>
      <diagonal/>
    </border>
    <border>
      <left style="thin">
        <color rgb="FFC00000"/>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rgb="FFC00000"/>
      </top>
      <bottom style="thin">
        <color indexed="64"/>
      </bottom>
      <diagonal/>
    </border>
    <border>
      <left style="thin">
        <color indexed="64"/>
      </left>
      <right style="thin">
        <color rgb="FFC00000"/>
      </right>
      <top/>
      <bottom style="thin">
        <color indexed="64"/>
      </bottom>
      <diagonal/>
    </border>
    <border>
      <left style="thin">
        <color rgb="FFC00000"/>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rgb="FFC00000"/>
      </right>
      <top style="thin">
        <color indexed="64"/>
      </top>
      <bottom style="thin">
        <color indexed="64"/>
      </bottom>
      <diagonal/>
    </border>
    <border>
      <left/>
      <right style="thin">
        <color theme="4"/>
      </right>
      <top style="thin">
        <color theme="4"/>
      </top>
      <bottom style="thin">
        <color theme="4"/>
      </bottom>
      <diagonal/>
    </border>
    <border>
      <left style="thin">
        <color theme="4"/>
      </left>
      <right style="thin">
        <color theme="4"/>
      </right>
      <top style="thin">
        <color theme="4"/>
      </top>
      <bottom/>
      <diagonal/>
    </border>
    <border>
      <left style="thin">
        <color theme="4"/>
      </left>
      <right style="thin">
        <color theme="4"/>
      </right>
      <top style="thin">
        <color theme="4"/>
      </top>
      <bottom style="thin">
        <color theme="4"/>
      </bottom>
      <diagonal/>
    </border>
    <border>
      <left style="thin">
        <color theme="4"/>
      </left>
      <right style="thin">
        <color theme="4"/>
      </right>
      <top/>
      <bottom style="thin">
        <color theme="4"/>
      </bottom>
      <diagonal/>
    </border>
    <border>
      <left style="thin">
        <color theme="4"/>
      </left>
      <right style="thin">
        <color theme="4"/>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C00000"/>
      </left>
      <right/>
      <top style="thin">
        <color indexed="64"/>
      </top>
      <bottom style="thin">
        <color indexed="64"/>
      </bottom>
      <diagonal/>
    </border>
  </borders>
  <cellStyleXfs count="2">
    <xf numFmtId="0" fontId="0" fillId="0" borderId="0"/>
    <xf numFmtId="164" fontId="8" fillId="0" borderId="0" applyFont="0" applyFill="0" applyBorder="0" applyAlignment="0" applyProtection="0"/>
  </cellStyleXfs>
  <cellXfs count="202">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vertical="center"/>
    </xf>
    <xf numFmtId="0" fontId="5" fillId="0" borderId="0" xfId="0" applyFont="1" applyAlignment="1">
      <alignment horizontal="center" vertical="top"/>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top"/>
    </xf>
    <xf numFmtId="0" fontId="2" fillId="0" borderId="0" xfId="0" applyFont="1" applyAlignment="1">
      <alignment vertical="top"/>
    </xf>
    <xf numFmtId="0" fontId="0" fillId="0" borderId="0" xfId="0" applyAlignment="1">
      <alignment horizontal="left" indent="2"/>
    </xf>
    <xf numFmtId="0" fontId="0" fillId="0" borderId="0" xfId="0" applyAlignment="1">
      <alignment horizontal="left" vertical="top"/>
    </xf>
    <xf numFmtId="0" fontId="0" fillId="0" borderId="0" xfId="0" applyAlignment="1">
      <alignment horizontal="left" vertical="top" wrapText="1" indent="2"/>
    </xf>
    <xf numFmtId="0" fontId="0" fillId="0" borderId="0" xfId="0" applyAlignment="1">
      <alignment horizontal="left" vertical="top" wrapText="1"/>
    </xf>
    <xf numFmtId="0" fontId="2" fillId="3" borderId="0" xfId="0" applyFont="1" applyFill="1" applyAlignment="1">
      <alignment vertical="top"/>
    </xf>
    <xf numFmtId="0" fontId="0" fillId="0" borderId="0" xfId="0" applyAlignment="1">
      <alignment horizontal="left" vertical="top" indent="2"/>
    </xf>
    <xf numFmtId="0" fontId="0" fillId="0" borderId="0" xfId="0" applyAlignment="1">
      <alignment horizontal="left" vertical="top" indent="5"/>
    </xf>
    <xf numFmtId="0" fontId="0" fillId="0" borderId="0" xfId="0" applyAlignment="1">
      <alignment horizontal="left" vertical="top" wrapText="1" indent="5"/>
    </xf>
    <xf numFmtId="0" fontId="1" fillId="2" borderId="0" xfId="0" applyFont="1" applyFill="1" applyAlignment="1">
      <alignment horizontal="center" vertical="top" wrapText="1"/>
    </xf>
    <xf numFmtId="0" fontId="1" fillId="2" borderId="2" xfId="0" applyFont="1" applyFill="1" applyBorder="1" applyAlignment="1">
      <alignment horizontal="center" vertical="top" wrapText="1"/>
    </xf>
    <xf numFmtId="0" fontId="1" fillId="2" borderId="0" xfId="0" applyFont="1" applyFill="1" applyAlignment="1">
      <alignment horizontal="center" vertical="top"/>
    </xf>
    <xf numFmtId="0" fontId="2" fillId="4" borderId="0" xfId="0" applyFont="1" applyFill="1"/>
    <xf numFmtId="0" fontId="0" fillId="3" borderId="0" xfId="0" applyFill="1" applyAlignment="1">
      <alignment vertical="top"/>
    </xf>
    <xf numFmtId="0" fontId="6" fillId="0" borderId="0" xfId="0" applyFont="1" applyAlignment="1">
      <alignment vertical="top" wrapText="1"/>
    </xf>
    <xf numFmtId="0" fontId="0" fillId="0" borderId="0" xfId="0" applyAlignment="1">
      <alignment vertical="center" wrapText="1"/>
    </xf>
    <xf numFmtId="0" fontId="2" fillId="0" borderId="0" xfId="0" applyFont="1"/>
    <xf numFmtId="0" fontId="0" fillId="5" borderId="0" xfId="0" applyFill="1"/>
    <xf numFmtId="0" fontId="1" fillId="6" borderId="3" xfId="0" applyFont="1" applyFill="1" applyBorder="1"/>
    <xf numFmtId="0" fontId="1" fillId="6" borderId="4" xfId="0" applyFont="1" applyFill="1" applyBorder="1"/>
    <xf numFmtId="0" fontId="2" fillId="0" borderId="5" xfId="0" applyFont="1" applyBorder="1"/>
    <xf numFmtId="0" fontId="0" fillId="5" borderId="6" xfId="0" applyFill="1" applyBorder="1"/>
    <xf numFmtId="0" fontId="2" fillId="0" borderId="6" xfId="0" applyFont="1" applyBorder="1"/>
    <xf numFmtId="0" fontId="2" fillId="0" borderId="7" xfId="0" applyFont="1" applyBorder="1"/>
    <xf numFmtId="0" fontId="1" fillId="6" borderId="3" xfId="0" applyFont="1" applyFill="1" applyBorder="1" applyAlignment="1">
      <alignment vertical="top"/>
    </xf>
    <xf numFmtId="0" fontId="1" fillId="6" borderId="4" xfId="0" applyFont="1" applyFill="1" applyBorder="1" applyAlignment="1">
      <alignment vertical="top" wrapText="1"/>
    </xf>
    <xf numFmtId="0" fontId="2" fillId="0" borderId="8" xfId="0" applyFont="1" applyBorder="1"/>
    <xf numFmtId="0" fontId="0" fillId="5" borderId="9" xfId="0" applyFill="1" applyBorder="1"/>
    <xf numFmtId="0" fontId="2" fillId="0" borderId="9" xfId="0" applyFont="1" applyBorder="1"/>
    <xf numFmtId="0" fontId="2" fillId="0" borderId="10" xfId="0" applyFont="1" applyBorder="1"/>
    <xf numFmtId="0" fontId="2" fillId="5" borderId="0" xfId="0" applyFont="1" applyFill="1" applyAlignment="1">
      <alignment vertical="top" wrapText="1"/>
    </xf>
    <xf numFmtId="0" fontId="0" fillId="0" borderId="0" xfId="0" applyAlignment="1">
      <alignment horizontal="center" vertical="center"/>
    </xf>
    <xf numFmtId="0" fontId="2" fillId="7" borderId="0" xfId="0" applyFont="1" applyFill="1" applyAlignment="1">
      <alignment vertical="center"/>
    </xf>
    <xf numFmtId="0" fontId="0" fillId="7" borderId="0" xfId="0" applyFill="1" applyAlignment="1">
      <alignment vertical="center"/>
    </xf>
    <xf numFmtId="0" fontId="7" fillId="7" borderId="0" xfId="0" applyFont="1" applyFill="1" applyAlignment="1">
      <alignment horizontal="center" vertical="center"/>
    </xf>
    <xf numFmtId="0" fontId="1" fillId="6" borderId="0" xfId="0" applyFont="1" applyFill="1" applyAlignment="1">
      <alignment horizontal="center" vertical="top" wrapText="1"/>
    </xf>
    <xf numFmtId="164" fontId="0" fillId="5" borderId="0" xfId="1" applyFont="1" applyFill="1"/>
    <xf numFmtId="0" fontId="1" fillId="6" borderId="0" xfId="0" applyFont="1" applyFill="1" applyAlignment="1">
      <alignment horizontal="center" vertical="top"/>
    </xf>
    <xf numFmtId="0" fontId="5" fillId="7" borderId="0" xfId="0" applyFont="1" applyFill="1" applyAlignment="1">
      <alignment horizontal="center" vertical="center"/>
    </xf>
    <xf numFmtId="0" fontId="0" fillId="0" borderId="0" xfId="0" applyAlignment="1">
      <alignment horizontal="left"/>
    </xf>
    <xf numFmtId="0" fontId="0" fillId="0" borderId="0" xfId="0" applyAlignment="1">
      <alignment wrapText="1"/>
    </xf>
    <xf numFmtId="16" fontId="10" fillId="6" borderId="0" xfId="0" applyNumberFormat="1" applyFont="1" applyFill="1" applyAlignment="1">
      <alignment horizontal="right" vertical="center" wrapText="1"/>
    </xf>
    <xf numFmtId="1" fontId="1" fillId="6" borderId="0" xfId="0" applyNumberFormat="1" applyFont="1" applyFill="1" applyAlignment="1">
      <alignment horizontal="center" vertical="center" wrapText="1"/>
    </xf>
    <xf numFmtId="16" fontId="1" fillId="6" borderId="0" xfId="0" applyNumberFormat="1" applyFont="1" applyFill="1" applyAlignment="1">
      <alignment horizontal="center" vertical="center" wrapText="1"/>
    </xf>
    <xf numFmtId="0" fontId="0" fillId="0" borderId="17" xfId="0" applyBorder="1" applyAlignment="1">
      <alignment horizontal="left" vertical="center" indent="1"/>
    </xf>
    <xf numFmtId="0" fontId="6" fillId="0" borderId="18" xfId="0" applyFont="1" applyBorder="1" applyAlignment="1">
      <alignment vertical="center"/>
    </xf>
    <xf numFmtId="0" fontId="0" fillId="0" borderId="18" xfId="0" applyBorder="1" applyAlignment="1">
      <alignment vertical="center" wrapText="1"/>
    </xf>
    <xf numFmtId="0" fontId="0" fillId="0" borderId="19" xfId="0" applyBorder="1" applyAlignment="1">
      <alignment vertical="center" wrapText="1"/>
    </xf>
    <xf numFmtId="0" fontId="0" fillId="0" borderId="20" xfId="0" applyBorder="1" applyAlignment="1">
      <alignment horizontal="left" vertical="center" indent="1"/>
    </xf>
    <xf numFmtId="0" fontId="6" fillId="0" borderId="21" xfId="0" applyFont="1" applyBorder="1" applyAlignment="1">
      <alignment vertical="center"/>
    </xf>
    <xf numFmtId="0" fontId="0" fillId="0" borderId="21" xfId="0" applyBorder="1" applyAlignment="1">
      <alignment vertical="center" wrapText="1"/>
    </xf>
    <xf numFmtId="0" fontId="0" fillId="0" borderId="22" xfId="0" applyBorder="1" applyAlignment="1">
      <alignment vertical="center" wrapText="1"/>
    </xf>
    <xf numFmtId="0" fontId="0" fillId="0" borderId="20" xfId="0" applyBorder="1" applyAlignment="1">
      <alignment horizontal="left" vertical="center" wrapText="1" indent="1"/>
    </xf>
    <xf numFmtId="0" fontId="6" fillId="0" borderId="0" xfId="0" applyFont="1"/>
    <xf numFmtId="0" fontId="0" fillId="0" borderId="23" xfId="0" applyBorder="1" applyAlignment="1">
      <alignment vertical="center" wrapText="1"/>
    </xf>
    <xf numFmtId="0" fontId="0" fillId="3" borderId="0" xfId="0" applyFill="1" applyAlignment="1">
      <alignment vertical="center"/>
    </xf>
    <xf numFmtId="0" fontId="0" fillId="8" borderId="0" xfId="0" applyFill="1" applyAlignment="1">
      <alignment vertical="center"/>
    </xf>
    <xf numFmtId="0" fontId="0" fillId="9" borderId="0" xfId="0" applyFill="1" applyAlignment="1">
      <alignment vertical="center" wrapText="1"/>
    </xf>
    <xf numFmtId="0" fontId="0" fillId="10" borderId="0" xfId="0" applyFill="1" applyAlignment="1">
      <alignment vertical="center" wrapText="1"/>
    </xf>
    <xf numFmtId="0" fontId="0" fillId="11" borderId="0" xfId="0" applyFill="1" applyAlignment="1">
      <alignment vertical="center" wrapText="1"/>
    </xf>
    <xf numFmtId="0" fontId="6" fillId="0" borderId="0" xfId="0" applyFont="1" applyAlignment="1">
      <alignment vertical="center"/>
    </xf>
    <xf numFmtId="0" fontId="0" fillId="0" borderId="0" xfId="0" quotePrefix="1" applyAlignment="1">
      <alignment vertical="center" wrapText="1"/>
    </xf>
    <xf numFmtId="0" fontId="11" fillId="0" borderId="0" xfId="0" applyFont="1" applyAlignment="1">
      <alignment vertical="center" wrapText="1"/>
    </xf>
    <xf numFmtId="0" fontId="1" fillId="0" borderId="38" xfId="0" applyFont="1" applyBorder="1" applyAlignment="1">
      <alignment horizontal="center" vertical="top"/>
    </xf>
    <xf numFmtId="0" fontId="1" fillId="0" borderId="39" xfId="0" applyFont="1" applyBorder="1" applyAlignment="1">
      <alignment horizontal="center" vertical="top" wrapText="1"/>
    </xf>
    <xf numFmtId="0" fontId="1" fillId="0" borderId="39" xfId="0" applyFont="1" applyBorder="1" applyAlignment="1">
      <alignment horizontal="center" vertical="top"/>
    </xf>
    <xf numFmtId="0" fontId="1" fillId="0" borderId="41" xfId="0" applyFont="1" applyBorder="1" applyAlignment="1">
      <alignment horizontal="center" vertical="top" wrapText="1"/>
    </xf>
    <xf numFmtId="0" fontId="0" fillId="0" borderId="42" xfId="0" applyBorder="1" applyAlignment="1">
      <alignment horizontal="center" vertical="top"/>
    </xf>
    <xf numFmtId="0" fontId="0" fillId="0" borderId="0" xfId="0" applyAlignment="1">
      <alignment horizontal="center"/>
    </xf>
    <xf numFmtId="0" fontId="1" fillId="12" borderId="0" xfId="0" applyFont="1" applyFill="1" applyAlignment="1">
      <alignment horizontal="left" vertical="center" wrapText="1"/>
    </xf>
    <xf numFmtId="0" fontId="1" fillId="12" borderId="0" xfId="0" applyFont="1" applyFill="1" applyAlignment="1">
      <alignment horizontal="center" vertical="center" wrapText="1"/>
    </xf>
    <xf numFmtId="0" fontId="1" fillId="12" borderId="0" xfId="0" applyFont="1" applyFill="1" applyAlignment="1">
      <alignment horizontal="center" vertical="center"/>
    </xf>
    <xf numFmtId="0" fontId="0" fillId="3" borderId="0" xfId="0" applyFill="1" applyAlignment="1">
      <alignment vertical="top" wrapText="1"/>
    </xf>
    <xf numFmtId="0" fontId="0" fillId="0" borderId="43" xfId="0" applyBorder="1" applyAlignment="1">
      <alignment vertical="top"/>
    </xf>
    <xf numFmtId="0" fontId="0" fillId="0" borderId="44" xfId="0" applyBorder="1" applyAlignment="1">
      <alignment vertical="top"/>
    </xf>
    <xf numFmtId="0" fontId="0" fillId="0" borderId="44" xfId="0" applyBorder="1" applyAlignment="1">
      <alignment vertical="center"/>
    </xf>
    <xf numFmtId="0" fontId="1" fillId="15" borderId="0" xfId="0" applyFont="1" applyFill="1"/>
    <xf numFmtId="0" fontId="0" fillId="0" borderId="46" xfId="0" applyBorder="1" applyAlignment="1">
      <alignment vertical="top"/>
    </xf>
    <xf numFmtId="0" fontId="0" fillId="0" borderId="47" xfId="0" applyBorder="1" applyAlignment="1">
      <alignment vertical="top"/>
    </xf>
    <xf numFmtId="0" fontId="0" fillId="0" borderId="45" xfId="0" applyBorder="1" applyAlignment="1">
      <alignment vertical="top"/>
    </xf>
    <xf numFmtId="0" fontId="0" fillId="0" borderId="48" xfId="0" applyBorder="1" applyAlignment="1">
      <alignment vertical="top"/>
    </xf>
    <xf numFmtId="0" fontId="0" fillId="0" borderId="49" xfId="0" applyBorder="1" applyAlignment="1">
      <alignment vertical="top"/>
    </xf>
    <xf numFmtId="0" fontId="0" fillId="0" borderId="45" xfId="0" applyBorder="1" applyAlignment="1">
      <alignment vertical="top" wrapText="1"/>
    </xf>
    <xf numFmtId="0" fontId="1" fillId="15" borderId="46" xfId="0" applyFont="1" applyFill="1" applyBorder="1" applyAlignment="1">
      <alignment horizontal="center"/>
    </xf>
    <xf numFmtId="0" fontId="1" fillId="15" borderId="47" xfId="0" applyFont="1" applyFill="1" applyBorder="1" applyAlignment="1">
      <alignment horizontal="center"/>
    </xf>
    <xf numFmtId="0" fontId="13" fillId="0" borderId="0" xfId="0" applyFont="1"/>
    <xf numFmtId="164" fontId="13" fillId="5" borderId="0" xfId="1" applyFont="1" applyFill="1"/>
    <xf numFmtId="0" fontId="13" fillId="5" borderId="0" xfId="0" applyFont="1" applyFill="1"/>
    <xf numFmtId="0" fontId="14" fillId="12" borderId="0" xfId="0" applyFont="1" applyFill="1" applyAlignment="1">
      <alignment horizontal="center" vertical="center"/>
    </xf>
    <xf numFmtId="0" fontId="14" fillId="12" borderId="0" xfId="0" applyFont="1" applyFill="1" applyAlignment="1">
      <alignment horizontal="left" vertical="center" wrapText="1"/>
    </xf>
    <xf numFmtId="0" fontId="14" fillId="12" borderId="0" xfId="0" applyFont="1" applyFill="1" applyAlignment="1">
      <alignment horizontal="center" vertical="center" wrapText="1"/>
    </xf>
    <xf numFmtId="0" fontId="13" fillId="0" borderId="0" xfId="0" applyFont="1" applyAlignment="1">
      <alignment vertical="center"/>
    </xf>
    <xf numFmtId="0" fontId="15" fillId="14" borderId="0" xfId="0" applyFont="1" applyFill="1" applyAlignment="1">
      <alignment vertical="center"/>
    </xf>
    <xf numFmtId="0" fontId="17" fillId="14" borderId="0" xfId="0" applyFont="1" applyFill="1" applyAlignment="1">
      <alignment horizontal="center" vertical="center"/>
    </xf>
    <xf numFmtId="0" fontId="18" fillId="14" borderId="0" xfId="0" applyFont="1" applyFill="1" applyAlignment="1">
      <alignment horizontal="center" vertical="center"/>
    </xf>
    <xf numFmtId="0" fontId="17" fillId="14" borderId="0" xfId="0" applyFont="1" applyFill="1" applyAlignment="1">
      <alignment horizontal="center" vertical="center" wrapText="1"/>
    </xf>
    <xf numFmtId="0" fontId="20" fillId="0" borderId="43" xfId="0" applyFont="1" applyBorder="1" applyAlignment="1">
      <alignment vertical="center" wrapText="1"/>
    </xf>
    <xf numFmtId="0" fontId="21" fillId="0" borderId="43" xfId="0" applyFont="1" applyBorder="1" applyAlignment="1">
      <alignment horizontal="center" vertical="center"/>
    </xf>
    <xf numFmtId="0" fontId="18" fillId="0" borderId="43" xfId="0" applyFont="1" applyBorder="1" applyAlignment="1">
      <alignment horizontal="center" vertical="center"/>
    </xf>
    <xf numFmtId="0" fontId="22" fillId="0" borderId="43" xfId="0" applyFont="1" applyBorder="1" applyAlignment="1">
      <alignment vertical="center" wrapText="1"/>
    </xf>
    <xf numFmtId="0" fontId="17" fillId="0" borderId="0" xfId="0" applyFont="1"/>
    <xf numFmtId="0" fontId="13" fillId="0" borderId="0" xfId="0" applyFont="1" applyAlignment="1">
      <alignment vertical="top" wrapText="1"/>
    </xf>
    <xf numFmtId="0" fontId="19" fillId="0" borderId="0" xfId="0" applyFont="1" applyAlignment="1">
      <alignment horizontal="center" vertical="top"/>
    </xf>
    <xf numFmtId="0" fontId="23" fillId="0" borderId="0" xfId="0" applyFont="1" applyAlignment="1">
      <alignment horizontal="center" vertical="top"/>
    </xf>
    <xf numFmtId="0" fontId="23" fillId="0" borderId="0" xfId="0" applyFont="1" applyAlignment="1">
      <alignment vertical="top" wrapText="1"/>
    </xf>
    <xf numFmtId="0" fontId="13" fillId="0" borderId="0" xfId="0" applyFont="1" applyAlignment="1">
      <alignment wrapText="1"/>
    </xf>
    <xf numFmtId="0" fontId="19" fillId="0" borderId="43" xfId="0" applyFont="1" applyBorder="1" applyAlignment="1">
      <alignment horizontal="center" vertical="center"/>
    </xf>
    <xf numFmtId="0" fontId="16" fillId="14" borderId="0" xfId="0" applyFont="1" applyFill="1" applyAlignment="1">
      <alignment vertical="center"/>
    </xf>
    <xf numFmtId="0" fontId="14" fillId="12" borderId="31" xfId="0" applyFont="1" applyFill="1" applyBorder="1" applyAlignment="1">
      <alignment horizontal="center" vertical="center"/>
    </xf>
    <xf numFmtId="0" fontId="14" fillId="12" borderId="39" xfId="0" applyFont="1" applyFill="1" applyBorder="1" applyAlignment="1">
      <alignment horizontal="left" vertical="center" wrapText="1"/>
    </xf>
    <xf numFmtId="0" fontId="14" fillId="12" borderId="39" xfId="0" applyFont="1" applyFill="1" applyBorder="1" applyAlignment="1">
      <alignment horizontal="center" vertical="center"/>
    </xf>
    <xf numFmtId="0" fontId="14" fillId="12" borderId="29" xfId="0" applyFont="1" applyFill="1" applyBorder="1" applyAlignment="1">
      <alignment horizontal="center" vertical="center"/>
    </xf>
    <xf numFmtId="0" fontId="15" fillId="14" borderId="26" xfId="0" applyFont="1" applyFill="1" applyBorder="1" applyAlignment="1">
      <alignment vertical="center"/>
    </xf>
    <xf numFmtId="0" fontId="16" fillId="14" borderId="43" xfId="0" applyFont="1" applyFill="1" applyBorder="1" applyAlignment="1">
      <alignment vertical="center"/>
    </xf>
    <xf numFmtId="0" fontId="15" fillId="14" borderId="43" xfId="0" applyFont="1" applyFill="1" applyBorder="1" applyAlignment="1">
      <alignment vertical="center" wrapText="1"/>
    </xf>
    <xf numFmtId="0" fontId="15" fillId="14" borderId="24" xfId="0" applyFont="1" applyFill="1" applyBorder="1" applyAlignment="1">
      <alignment vertical="center"/>
    </xf>
    <xf numFmtId="0" fontId="15" fillId="12" borderId="24" xfId="0" applyFont="1" applyFill="1" applyBorder="1"/>
    <xf numFmtId="0" fontId="15" fillId="12" borderId="25" xfId="0" applyFont="1" applyFill="1" applyBorder="1"/>
    <xf numFmtId="0" fontId="15" fillId="12" borderId="26" xfId="0" applyFont="1" applyFill="1" applyBorder="1"/>
    <xf numFmtId="0" fontId="17" fillId="0" borderId="32" xfId="0" applyFont="1" applyBorder="1"/>
    <xf numFmtId="0" fontId="15" fillId="0" borderId="27" xfId="0" applyFont="1" applyBorder="1"/>
    <xf numFmtId="0" fontId="13" fillId="0" borderId="27" xfId="0" applyFont="1" applyBorder="1"/>
    <xf numFmtId="0" fontId="17" fillId="0" borderId="27" xfId="0" applyFont="1" applyBorder="1"/>
    <xf numFmtId="0" fontId="17" fillId="0" borderId="28" xfId="0" applyFont="1" applyBorder="1"/>
    <xf numFmtId="0" fontId="15" fillId="12" borderId="29" xfId="0" applyFont="1" applyFill="1" applyBorder="1" applyAlignment="1">
      <alignment vertical="top"/>
    </xf>
    <xf numFmtId="0" fontId="15" fillId="12" borderId="30" xfId="0" applyFont="1" applyFill="1" applyBorder="1" applyAlignment="1">
      <alignment vertical="top"/>
    </xf>
    <xf numFmtId="0" fontId="15" fillId="12" borderId="30" xfId="0" applyFont="1" applyFill="1" applyBorder="1"/>
    <xf numFmtId="0" fontId="15" fillId="12" borderId="31" xfId="0" applyFont="1" applyFill="1" applyBorder="1"/>
    <xf numFmtId="0" fontId="17" fillId="0" borderId="29" xfId="0" applyFont="1" applyBorder="1"/>
    <xf numFmtId="0" fontId="15" fillId="0" borderId="30" xfId="0" applyFont="1" applyBorder="1" applyAlignment="1">
      <alignment vertical="top" wrapText="1"/>
    </xf>
    <xf numFmtId="0" fontId="13" fillId="0" borderId="30" xfId="0" applyFont="1" applyBorder="1"/>
    <xf numFmtId="0" fontId="17" fillId="0" borderId="30" xfId="0" applyFont="1" applyBorder="1"/>
    <xf numFmtId="0" fontId="17" fillId="0" borderId="31" xfId="0" applyFont="1" applyBorder="1"/>
    <xf numFmtId="0" fontId="17" fillId="5" borderId="0" xfId="0" applyFont="1" applyFill="1" applyAlignment="1">
      <alignment vertical="top" wrapText="1"/>
    </xf>
    <xf numFmtId="0" fontId="13" fillId="4" borderId="32" xfId="0" applyFont="1" applyFill="1" applyBorder="1" applyAlignment="1">
      <alignment vertical="top"/>
    </xf>
    <xf numFmtId="0" fontId="13" fillId="4" borderId="27" xfId="0" applyFont="1" applyFill="1" applyBorder="1" applyAlignment="1">
      <alignment vertical="top" wrapText="1"/>
    </xf>
    <xf numFmtId="0" fontId="13" fillId="4" borderId="28" xfId="0" applyFont="1" applyFill="1" applyBorder="1" applyAlignment="1">
      <alignment vertical="top" wrapText="1"/>
    </xf>
    <xf numFmtId="0" fontId="13" fillId="4" borderId="29" xfId="0" applyFont="1" applyFill="1" applyBorder="1" applyAlignment="1">
      <alignment vertical="top"/>
    </xf>
    <xf numFmtId="0" fontId="13" fillId="4" borderId="30" xfId="0" applyFont="1" applyFill="1" applyBorder="1" applyAlignment="1">
      <alignment vertical="top" wrapText="1"/>
    </xf>
    <xf numFmtId="0" fontId="13" fillId="4" borderId="31" xfId="0" applyFont="1" applyFill="1" applyBorder="1" applyAlignment="1">
      <alignment vertical="top" wrapText="1"/>
    </xf>
    <xf numFmtId="0" fontId="15" fillId="12" borderId="40" xfId="0" applyFont="1" applyFill="1" applyBorder="1" applyAlignment="1">
      <alignment horizontal="center" vertical="center" wrapText="1"/>
    </xf>
    <xf numFmtId="0" fontId="20" fillId="0" borderId="42" xfId="0" applyFont="1" applyBorder="1" applyAlignment="1">
      <alignment horizontal="center" vertical="center"/>
    </xf>
    <xf numFmtId="0" fontId="20" fillId="0" borderId="43" xfId="0" applyFont="1" applyBorder="1" applyAlignment="1">
      <alignment horizontal="center" vertical="center" wrapText="1"/>
    </xf>
    <xf numFmtId="0" fontId="20" fillId="0" borderId="43" xfId="0" quotePrefix="1" applyFont="1" applyBorder="1" applyAlignment="1">
      <alignment vertical="center" wrapText="1"/>
    </xf>
    <xf numFmtId="0" fontId="20" fillId="0" borderId="43" xfId="0" quotePrefix="1" applyFont="1" applyBorder="1" applyAlignment="1">
      <alignment horizontal="left" vertical="center" wrapText="1"/>
    </xf>
    <xf numFmtId="0" fontId="20" fillId="0" borderId="44" xfId="0" applyFont="1" applyBorder="1" applyAlignment="1">
      <alignment vertical="center" wrapText="1"/>
    </xf>
    <xf numFmtId="0" fontId="20" fillId="0" borderId="43" xfId="0" applyFont="1" applyBorder="1" applyAlignment="1">
      <alignment horizontal="left" vertical="center" wrapText="1"/>
    </xf>
    <xf numFmtId="0" fontId="24" fillId="0" borderId="26" xfId="0" applyFont="1" applyBorder="1" applyAlignment="1">
      <alignment horizontal="center" vertical="center"/>
    </xf>
    <xf numFmtId="0" fontId="12" fillId="13" borderId="0" xfId="0" applyFont="1" applyFill="1" applyAlignment="1">
      <alignment horizontal="left" vertical="top" wrapText="1"/>
    </xf>
    <xf numFmtId="0" fontId="12" fillId="13" borderId="0" xfId="0" applyFont="1" applyFill="1" applyAlignment="1">
      <alignment horizontal="left" vertical="top"/>
    </xf>
    <xf numFmtId="0" fontId="0" fillId="0" borderId="0" xfId="0" applyAlignment="1">
      <alignment horizontal="left" vertical="top" wrapText="1"/>
    </xf>
    <xf numFmtId="0" fontId="0" fillId="0" borderId="0" xfId="0" applyAlignment="1">
      <alignment vertical="top"/>
    </xf>
    <xf numFmtId="0" fontId="15" fillId="12" borderId="34" xfId="0" applyFont="1" applyFill="1" applyBorder="1" applyAlignment="1">
      <alignment horizontal="center" vertical="center" wrapText="1"/>
    </xf>
    <xf numFmtId="0" fontId="15" fillId="12" borderId="39" xfId="0" applyFont="1" applyFill="1" applyBorder="1" applyAlignment="1">
      <alignment horizontal="center" vertical="center" wrapText="1"/>
    </xf>
    <xf numFmtId="0" fontId="15" fillId="12" borderId="33" xfId="0" applyFont="1" applyFill="1" applyBorder="1" applyAlignment="1">
      <alignment horizontal="center" vertical="center" wrapText="1"/>
    </xf>
    <xf numFmtId="0" fontId="15" fillId="12" borderId="38" xfId="0" applyFont="1" applyFill="1" applyBorder="1" applyAlignment="1">
      <alignment horizontal="center" vertical="center" wrapText="1"/>
    </xf>
    <xf numFmtId="0" fontId="15" fillId="12" borderId="35" xfId="0" applyFont="1" applyFill="1" applyBorder="1" applyAlignment="1">
      <alignment horizontal="center" vertical="center" wrapText="1"/>
    </xf>
    <xf numFmtId="0" fontId="15" fillId="12" borderId="36" xfId="0" applyFont="1" applyFill="1" applyBorder="1" applyAlignment="1">
      <alignment horizontal="center" vertical="center" wrapText="1"/>
    </xf>
    <xf numFmtId="0" fontId="15" fillId="12" borderId="37" xfId="0" applyFont="1" applyFill="1" applyBorder="1" applyAlignment="1">
      <alignment horizontal="center" vertical="center" wrapText="1"/>
    </xf>
    <xf numFmtId="0" fontId="15" fillId="12" borderId="41" xfId="0" applyFont="1" applyFill="1" applyBorder="1" applyAlignment="1">
      <alignment horizontal="center" vertical="center" wrapText="1"/>
    </xf>
    <xf numFmtId="0" fontId="15" fillId="12" borderId="34" xfId="0" applyFont="1" applyFill="1" applyBorder="1" applyAlignment="1">
      <alignment horizontal="center" vertical="center"/>
    </xf>
    <xf numFmtId="0" fontId="15" fillId="12" borderId="39" xfId="0" applyFont="1" applyFill="1" applyBorder="1" applyAlignment="1">
      <alignment horizontal="center" vertical="center"/>
    </xf>
    <xf numFmtId="0" fontId="15" fillId="12" borderId="0" xfId="0" applyFont="1" applyFill="1" applyAlignment="1">
      <alignment horizontal="center" vertical="center" wrapText="1"/>
    </xf>
    <xf numFmtId="0" fontId="1" fillId="2" borderId="2" xfId="0" applyFont="1" applyFill="1" applyBorder="1" applyAlignment="1">
      <alignment horizontal="center" vertical="top" wrapText="1"/>
    </xf>
    <xf numFmtId="0" fontId="1" fillId="2" borderId="0" xfId="0" applyFont="1" applyFill="1" applyAlignment="1">
      <alignment horizontal="center" vertical="top" wrapText="1"/>
    </xf>
    <xf numFmtId="0" fontId="1" fillId="2" borderId="2" xfId="0" applyFont="1" applyFill="1" applyBorder="1" applyAlignment="1">
      <alignment horizontal="left" vertical="top" wrapText="1"/>
    </xf>
    <xf numFmtId="0" fontId="1" fillId="2" borderId="0" xfId="0" applyFont="1" applyFill="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16" fontId="1" fillId="6" borderId="0" xfId="0" applyNumberFormat="1" applyFont="1" applyFill="1" applyAlignment="1">
      <alignment horizontal="center" vertical="center" wrapText="1"/>
    </xf>
    <xf numFmtId="0" fontId="26" fillId="0" borderId="50" xfId="0" applyFont="1" applyBorder="1" applyAlignment="1">
      <alignment vertical="center" wrapText="1"/>
    </xf>
    <xf numFmtId="0" fontId="0" fillId="0" borderId="51" xfId="0" applyBorder="1" applyAlignment="1">
      <alignment vertical="center" wrapText="1"/>
    </xf>
    <xf numFmtId="0" fontId="26" fillId="0" borderId="52" xfId="0" applyFont="1" applyBorder="1" applyAlignment="1">
      <alignment vertical="center" wrapText="1"/>
    </xf>
    <xf numFmtId="0" fontId="19" fillId="0" borderId="0" xfId="0" applyFont="1" applyFill="1" applyAlignment="1">
      <alignment horizontal="center" vertical="top"/>
    </xf>
    <xf numFmtId="0" fontId="26" fillId="0" borderId="52" xfId="0" applyFont="1" applyFill="1" applyBorder="1" applyAlignment="1">
      <alignment vertical="center" wrapText="1"/>
    </xf>
    <xf numFmtId="0" fontId="0" fillId="0" borderId="53" xfId="0" applyFill="1" applyBorder="1" applyAlignment="1">
      <alignment vertical="center" wrapText="1"/>
    </xf>
    <xf numFmtId="0" fontId="13" fillId="0" borderId="0" xfId="0" applyFont="1" applyFill="1" applyAlignment="1">
      <alignment vertical="top" wrapText="1"/>
    </xf>
    <xf numFmtId="0" fontId="27" fillId="0" borderId="50" xfId="0" applyFont="1" applyBorder="1" applyAlignment="1">
      <alignment vertical="center" wrapText="1"/>
    </xf>
    <xf numFmtId="0" fontId="20" fillId="0" borderId="51" xfId="0" applyFont="1" applyBorder="1" applyAlignment="1">
      <alignment vertical="center" wrapText="1"/>
    </xf>
    <xf numFmtId="0" fontId="27" fillId="0" borderId="52" xfId="0" applyFont="1" applyFill="1" applyBorder="1" applyAlignment="1">
      <alignment vertical="center" wrapText="1"/>
    </xf>
    <xf numFmtId="0" fontId="20" fillId="0" borderId="53" xfId="0" applyFont="1" applyFill="1" applyBorder="1" applyAlignment="1">
      <alignment vertical="center" wrapText="1"/>
    </xf>
    <xf numFmtId="0" fontId="20" fillId="0" borderId="51" xfId="0" applyFont="1" applyBorder="1" applyAlignment="1">
      <alignment vertical="top" wrapText="1"/>
    </xf>
    <xf numFmtId="0" fontId="27" fillId="0" borderId="52" xfId="0" applyFont="1" applyBorder="1" applyAlignment="1">
      <alignment vertical="center" wrapText="1"/>
    </xf>
    <xf numFmtId="0" fontId="20" fillId="0" borderId="53" xfId="0" applyFont="1" applyBorder="1" applyAlignment="1">
      <alignment vertical="top" wrapText="1"/>
    </xf>
    <xf numFmtId="0" fontId="28" fillId="0" borderId="26" xfId="0" applyFont="1" applyFill="1" applyBorder="1" applyAlignment="1">
      <alignment horizontal="center" vertical="top"/>
    </xf>
    <xf numFmtId="0" fontId="0" fillId="0" borderId="53" xfId="0" applyBorder="1" applyAlignment="1">
      <alignment vertical="center" wrapText="1"/>
    </xf>
    <xf numFmtId="0" fontId="20" fillId="0" borderId="54" xfId="0" applyFont="1" applyBorder="1" applyAlignment="1">
      <alignment horizontal="center" vertical="center"/>
    </xf>
    <xf numFmtId="0" fontId="20" fillId="0" borderId="26" xfId="0" applyFont="1" applyBorder="1" applyAlignment="1">
      <alignment horizontal="center" vertical="center" wrapText="1"/>
    </xf>
    <xf numFmtId="0" fontId="25" fillId="0" borderId="1" xfId="0" applyFont="1" applyBorder="1" applyAlignment="1">
      <alignment vertical="center" wrapText="1"/>
    </xf>
    <xf numFmtId="0" fontId="25" fillId="0" borderId="43" xfId="0" applyFont="1" applyFill="1" applyBorder="1" applyAlignment="1">
      <alignment vertical="center" wrapText="1"/>
    </xf>
  </cellXfs>
  <cellStyles count="2">
    <cellStyle name="Comma" xfId="1" builtinId="3"/>
    <cellStyle name="Normal" xfId="0" builtinId="0"/>
  </cellStyles>
  <dxfs count="6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name val="Calibri"/>
        <scheme val="minor"/>
      </font>
      <numFmt numFmtId="0" formatCode="General"/>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Calibri"/>
        <scheme val="minor"/>
      </font>
      <numFmt numFmtId="0" formatCode="General"/>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Calibri"/>
        <scheme val="minor"/>
      </font>
      <numFmt numFmtId="0" formatCode="General"/>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Calibri"/>
        <scheme val="minor"/>
      </font>
      <numFmt numFmtId="0" formatCode="General"/>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Calibri"/>
        <scheme val="minor"/>
      </font>
      <numFmt numFmtId="0" formatCode="General"/>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center" textRotation="0" wrapText="1" indent="0" justifyLastLine="0" shrinkToFit="0" readingOrder="0"/>
    </dxf>
    <dxf>
      <font>
        <strike val="0"/>
        <outline val="0"/>
        <shadow val="0"/>
        <u val="none"/>
        <vertAlign val="baseline"/>
        <sz val="11"/>
        <name val="Calibri"/>
        <scheme val="minor"/>
      </font>
      <numFmt numFmtId="0" formatCode="General"/>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center" textRotation="0" wrapText="1" indent="0" justifyLastLine="0" shrinkToFit="0" readingOrder="0"/>
    </dxf>
    <dxf>
      <font>
        <strike val="0"/>
        <outline val="0"/>
        <shadow val="0"/>
        <u val="none"/>
        <vertAlign val="baseline"/>
        <sz val="11"/>
        <name val="Calibri"/>
        <scheme val="minor"/>
      </font>
      <numFmt numFmtId="0" formatCode="General"/>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Calibri"/>
        <scheme val="minor"/>
      </font>
      <numFmt numFmtId="0" formatCode="General"/>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Calibri"/>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Calibri"/>
        <scheme val="minor"/>
      </font>
      <numFmt numFmtId="0" formatCode="General"/>
      <fill>
        <patternFill patternType="none">
          <fgColor indexed="64"/>
          <bgColor auto="1"/>
        </patternFill>
      </fill>
      <alignment horizontal="center" vertical="center" textRotation="0" wrapText="0" indent="0" justifyLastLine="0" shrinkToFit="0" readingOrder="0"/>
    </dxf>
    <dxf>
      <border diagonalUp="0" diagonalDown="0">
        <left style="thin">
          <color rgb="FFC00000"/>
        </left>
        <right style="thin">
          <color rgb="FFC00000"/>
        </right>
        <top style="thin">
          <color rgb="FFC00000"/>
        </top>
        <bottom style="thin">
          <color rgb="FFC00000"/>
        </bottom>
      </border>
    </dxf>
    <dxf>
      <font>
        <strike val="0"/>
        <outline val="0"/>
        <shadow val="0"/>
        <u val="none"/>
        <vertAlign val="baseline"/>
        <sz val="11"/>
        <name val="Calibri"/>
        <scheme val="minor"/>
      </font>
      <fill>
        <patternFill patternType="none">
          <fgColor indexed="64"/>
          <bgColor auto="1"/>
        </patternFill>
      </fill>
      <alignment vertical="center" textRotation="0" indent="0" justifyLastLine="0" shrinkToFit="0" readingOrder="0"/>
    </dxf>
    <dxf>
      <font>
        <b/>
        <i val="0"/>
        <strike val="0"/>
        <condense val="0"/>
        <extend val="0"/>
        <outline val="0"/>
        <shadow val="0"/>
        <u val="none"/>
        <vertAlign val="baseline"/>
        <sz val="11"/>
        <color theme="0"/>
        <name val="Calibri"/>
        <scheme val="minor"/>
      </font>
      <fill>
        <gradientFill degree="90">
          <stop position="0">
            <color rgb="FFFF0000"/>
          </stop>
          <stop position="1">
            <color rgb="FFC00000"/>
          </stop>
        </gradientFill>
      </fill>
      <alignment horizontal="center" vertical="top" textRotation="0" wrapText="1" indent="0" justifyLastLine="0" shrinkToFit="0" readingOrder="0"/>
      <border diagonalUp="0" diagonalDown="0" outline="0">
        <left style="hair">
          <color auto="1"/>
        </left>
        <right style="hair">
          <color auto="1"/>
        </right>
        <top/>
        <bottom/>
      </border>
    </dxf>
    <dxf>
      <font>
        <strike val="0"/>
        <outline val="0"/>
        <shadow val="0"/>
        <u val="none"/>
        <vertAlign val="baseline"/>
        <name val="Helvetica Rounded"/>
        <family val="3"/>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Helvetica Rounded"/>
        <family val="3"/>
        <scheme val="none"/>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Helvetica Rounded"/>
        <family val="3"/>
        <scheme val="none"/>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Helvetica Rounded"/>
        <family val="3"/>
        <scheme val="none"/>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Helvetica Rounded"/>
        <family val="3"/>
        <scheme val="none"/>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Helvetica Rounded"/>
        <family val="3"/>
        <scheme val="none"/>
      </font>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name val="Helvetica Rounded"/>
        <family val="3"/>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Helvetica Rounded"/>
        <family val="3"/>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Helvetica Rounded"/>
        <family val="3"/>
        <scheme val="none"/>
      </font>
      <fill>
        <patternFill patternType="none">
          <fgColor indexed="64"/>
          <bgColor indexed="65"/>
        </patternFill>
      </fill>
      <alignment horizontal="center" vertical="top"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Helvetica Rounded"/>
        <family val="3"/>
        <scheme val="none"/>
      </font>
      <fill>
        <patternFill patternType="none">
          <fgColor indexed="64"/>
          <bgColor indexed="65"/>
        </patternFill>
      </fill>
      <alignment horizontal="center" vertical="top" textRotation="0" wrapText="0" indent="0" justifyLastLine="0" shrinkToFit="0" readingOrder="0"/>
    </dxf>
    <dxf>
      <font>
        <b/>
        <i val="0"/>
        <strike val="0"/>
        <condense val="0"/>
        <extend val="0"/>
        <outline val="0"/>
        <shadow val="0"/>
        <u val="none"/>
        <vertAlign val="baseline"/>
        <sz val="16"/>
        <color theme="0"/>
        <name val="Helvetica Rounded"/>
        <family val="3"/>
        <scheme val="none"/>
      </font>
      <fill>
        <gradientFill degree="90">
          <stop position="0">
            <color theme="4"/>
          </stop>
          <stop position="1">
            <color theme="4" tint="-0.25098422193060094"/>
          </stop>
        </gradient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6"/>
        <color theme="0"/>
        <name val="Calibri"/>
        <scheme val="minor"/>
      </font>
      <fill>
        <gradientFill degree="90">
          <stop position="0">
            <color theme="4"/>
          </stop>
          <stop position="1">
            <color theme="4" tint="-0.25098422193060094"/>
          </stop>
        </gradient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1</xdr:col>
      <xdr:colOff>93009</xdr:colOff>
      <xdr:row>0</xdr:row>
      <xdr:rowOff>0</xdr:rowOff>
    </xdr:from>
    <xdr:to>
      <xdr:col>2</xdr:col>
      <xdr:colOff>737907</xdr:colOff>
      <xdr:row>3</xdr:row>
      <xdr:rowOff>9525</xdr:rowOff>
    </xdr:to>
    <xdr:pic>
      <xdr:nvPicPr>
        <xdr:cNvPr id="2" name="Picture 1">
          <a:extLst>
            <a:ext uri="{FF2B5EF4-FFF2-40B4-BE49-F238E27FC236}">
              <a16:creationId xmlns:a16="http://schemas.microsoft.com/office/drawing/2014/main" id="{E9F7FA70-336D-46CE-B53A-2474A2D7BC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2609" y="0"/>
          <a:ext cx="1044948" cy="1009650"/>
        </a:xfrm>
        <a:prstGeom prst="rect">
          <a:avLst/>
        </a:prstGeom>
      </xdr:spPr>
    </xdr:pic>
    <xdr:clientData/>
  </xdr:twoCellAnchor>
  <xdr:twoCellAnchor>
    <xdr:from>
      <xdr:col>4</xdr:col>
      <xdr:colOff>280147</xdr:colOff>
      <xdr:row>6</xdr:row>
      <xdr:rowOff>207869</xdr:rowOff>
    </xdr:from>
    <xdr:to>
      <xdr:col>4</xdr:col>
      <xdr:colOff>585762</xdr:colOff>
      <xdr:row>6</xdr:row>
      <xdr:rowOff>488017</xdr:rowOff>
    </xdr:to>
    <xdr:sp macro="" textlink="">
      <xdr:nvSpPr>
        <xdr:cNvPr id="3" name="Rectangle 2">
          <a:extLst>
            <a:ext uri="{FF2B5EF4-FFF2-40B4-BE49-F238E27FC236}">
              <a16:creationId xmlns:a16="http://schemas.microsoft.com/office/drawing/2014/main" id="{40AA3958-F6DA-4D70-BF6E-49452A99930C}"/>
            </a:ext>
          </a:extLst>
        </xdr:cNvPr>
        <xdr:cNvSpPr/>
      </xdr:nvSpPr>
      <xdr:spPr>
        <a:xfrm>
          <a:off x="9281272" y="2150969"/>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275664</xdr:colOff>
      <xdr:row>6</xdr:row>
      <xdr:rowOff>211670</xdr:rowOff>
    </xdr:from>
    <xdr:to>
      <xdr:col>5</xdr:col>
      <xdr:colOff>581279</xdr:colOff>
      <xdr:row>6</xdr:row>
      <xdr:rowOff>491818</xdr:rowOff>
    </xdr:to>
    <xdr:sp macro="" textlink="">
      <xdr:nvSpPr>
        <xdr:cNvPr id="4" name="Rectangle 3">
          <a:extLst>
            <a:ext uri="{FF2B5EF4-FFF2-40B4-BE49-F238E27FC236}">
              <a16:creationId xmlns:a16="http://schemas.microsoft.com/office/drawing/2014/main" id="{BE1F37E9-E8B3-45BB-AACC-1D2586E7666A}"/>
            </a:ext>
          </a:extLst>
        </xdr:cNvPr>
        <xdr:cNvSpPr/>
      </xdr:nvSpPr>
      <xdr:spPr>
        <a:xfrm>
          <a:off x="10048314" y="2154770"/>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6</xdr:col>
      <xdr:colOff>282390</xdr:colOff>
      <xdr:row>6</xdr:row>
      <xdr:rowOff>210110</xdr:rowOff>
    </xdr:from>
    <xdr:to>
      <xdr:col>6</xdr:col>
      <xdr:colOff>588005</xdr:colOff>
      <xdr:row>6</xdr:row>
      <xdr:rowOff>490258</xdr:rowOff>
    </xdr:to>
    <xdr:sp macro="" textlink="">
      <xdr:nvSpPr>
        <xdr:cNvPr id="5" name="Rectangle 4">
          <a:extLst>
            <a:ext uri="{FF2B5EF4-FFF2-40B4-BE49-F238E27FC236}">
              <a16:creationId xmlns:a16="http://schemas.microsoft.com/office/drawing/2014/main" id="{403EF28B-A4BD-4ECC-8F0A-32E328FE7B2E}"/>
            </a:ext>
          </a:extLst>
        </xdr:cNvPr>
        <xdr:cNvSpPr/>
      </xdr:nvSpPr>
      <xdr:spPr>
        <a:xfrm>
          <a:off x="10826565" y="2153210"/>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277908</xdr:colOff>
      <xdr:row>6</xdr:row>
      <xdr:rowOff>213910</xdr:rowOff>
    </xdr:from>
    <xdr:to>
      <xdr:col>7</xdr:col>
      <xdr:colOff>583523</xdr:colOff>
      <xdr:row>6</xdr:row>
      <xdr:rowOff>494058</xdr:rowOff>
    </xdr:to>
    <xdr:sp macro="" textlink="">
      <xdr:nvSpPr>
        <xdr:cNvPr id="6" name="Rectangle 5">
          <a:extLst>
            <a:ext uri="{FF2B5EF4-FFF2-40B4-BE49-F238E27FC236}">
              <a16:creationId xmlns:a16="http://schemas.microsoft.com/office/drawing/2014/main" id="{E5BF3400-36AC-40FB-8A7F-15DAE5D3727F}"/>
            </a:ext>
          </a:extLst>
        </xdr:cNvPr>
        <xdr:cNvSpPr/>
      </xdr:nvSpPr>
      <xdr:spPr>
        <a:xfrm>
          <a:off x="11593608" y="2157010"/>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8</xdr:col>
      <xdr:colOff>396689</xdr:colOff>
      <xdr:row>6</xdr:row>
      <xdr:rowOff>212350</xdr:rowOff>
    </xdr:from>
    <xdr:to>
      <xdr:col>8</xdr:col>
      <xdr:colOff>702304</xdr:colOff>
      <xdr:row>6</xdr:row>
      <xdr:rowOff>492498</xdr:rowOff>
    </xdr:to>
    <xdr:sp macro="" textlink="">
      <xdr:nvSpPr>
        <xdr:cNvPr id="7" name="Rectangle 6">
          <a:extLst>
            <a:ext uri="{FF2B5EF4-FFF2-40B4-BE49-F238E27FC236}">
              <a16:creationId xmlns:a16="http://schemas.microsoft.com/office/drawing/2014/main" id="{DAF734EB-A2DB-4D8F-9860-4E8042130C3F}"/>
            </a:ext>
          </a:extLst>
        </xdr:cNvPr>
        <xdr:cNvSpPr/>
      </xdr:nvSpPr>
      <xdr:spPr>
        <a:xfrm>
          <a:off x="12483914" y="2155450"/>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xdr:col>
      <xdr:colOff>286871</xdr:colOff>
      <xdr:row>7</xdr:row>
      <xdr:rowOff>430306</xdr:rowOff>
    </xdr:from>
    <xdr:to>
      <xdr:col>4</xdr:col>
      <xdr:colOff>592486</xdr:colOff>
      <xdr:row>7</xdr:row>
      <xdr:rowOff>710454</xdr:rowOff>
    </xdr:to>
    <xdr:sp macro="" textlink="">
      <xdr:nvSpPr>
        <xdr:cNvPr id="8" name="Rectangle 7">
          <a:extLst>
            <a:ext uri="{FF2B5EF4-FFF2-40B4-BE49-F238E27FC236}">
              <a16:creationId xmlns:a16="http://schemas.microsoft.com/office/drawing/2014/main" id="{BD90B577-8C5D-4C37-BDDC-744F96F0E462}"/>
            </a:ext>
          </a:extLst>
        </xdr:cNvPr>
        <xdr:cNvSpPr/>
      </xdr:nvSpPr>
      <xdr:spPr>
        <a:xfrm>
          <a:off x="9287996" y="3040156"/>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282388</xdr:colOff>
      <xdr:row>7</xdr:row>
      <xdr:rowOff>434107</xdr:rowOff>
    </xdr:from>
    <xdr:to>
      <xdr:col>5</xdr:col>
      <xdr:colOff>588003</xdr:colOff>
      <xdr:row>7</xdr:row>
      <xdr:rowOff>714255</xdr:rowOff>
    </xdr:to>
    <xdr:sp macro="" textlink="">
      <xdr:nvSpPr>
        <xdr:cNvPr id="9" name="Rectangle 8">
          <a:extLst>
            <a:ext uri="{FF2B5EF4-FFF2-40B4-BE49-F238E27FC236}">
              <a16:creationId xmlns:a16="http://schemas.microsoft.com/office/drawing/2014/main" id="{3EE02A7B-17D4-4855-A3F3-4BAFDB6FFF94}"/>
            </a:ext>
          </a:extLst>
        </xdr:cNvPr>
        <xdr:cNvSpPr/>
      </xdr:nvSpPr>
      <xdr:spPr>
        <a:xfrm>
          <a:off x="10055038" y="3043957"/>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6</xdr:col>
      <xdr:colOff>289114</xdr:colOff>
      <xdr:row>7</xdr:row>
      <xdr:rowOff>424264</xdr:rowOff>
    </xdr:from>
    <xdr:to>
      <xdr:col>6</xdr:col>
      <xdr:colOff>594729</xdr:colOff>
      <xdr:row>7</xdr:row>
      <xdr:rowOff>704412</xdr:rowOff>
    </xdr:to>
    <xdr:sp macro="" textlink="">
      <xdr:nvSpPr>
        <xdr:cNvPr id="10" name="Rectangle 9">
          <a:extLst>
            <a:ext uri="{FF2B5EF4-FFF2-40B4-BE49-F238E27FC236}">
              <a16:creationId xmlns:a16="http://schemas.microsoft.com/office/drawing/2014/main" id="{54D2B8B2-9DD8-443B-BBF5-087DF4C4FBC2}"/>
            </a:ext>
          </a:extLst>
        </xdr:cNvPr>
        <xdr:cNvSpPr/>
      </xdr:nvSpPr>
      <xdr:spPr>
        <a:xfrm>
          <a:off x="10833289" y="3034114"/>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284632</xdr:colOff>
      <xdr:row>7</xdr:row>
      <xdr:rowOff>428064</xdr:rowOff>
    </xdr:from>
    <xdr:to>
      <xdr:col>7</xdr:col>
      <xdr:colOff>590247</xdr:colOff>
      <xdr:row>7</xdr:row>
      <xdr:rowOff>708212</xdr:rowOff>
    </xdr:to>
    <xdr:sp macro="" textlink="">
      <xdr:nvSpPr>
        <xdr:cNvPr id="11" name="Rectangle 10">
          <a:extLst>
            <a:ext uri="{FF2B5EF4-FFF2-40B4-BE49-F238E27FC236}">
              <a16:creationId xmlns:a16="http://schemas.microsoft.com/office/drawing/2014/main" id="{7F02CB7C-DFAB-4703-8AA8-206C27F8DF78}"/>
            </a:ext>
          </a:extLst>
        </xdr:cNvPr>
        <xdr:cNvSpPr/>
      </xdr:nvSpPr>
      <xdr:spPr>
        <a:xfrm>
          <a:off x="11600332" y="3037914"/>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8</xdr:col>
      <xdr:colOff>403413</xdr:colOff>
      <xdr:row>7</xdr:row>
      <xdr:rowOff>418221</xdr:rowOff>
    </xdr:from>
    <xdr:to>
      <xdr:col>8</xdr:col>
      <xdr:colOff>709028</xdr:colOff>
      <xdr:row>7</xdr:row>
      <xdr:rowOff>698369</xdr:rowOff>
    </xdr:to>
    <xdr:sp macro="" textlink="">
      <xdr:nvSpPr>
        <xdr:cNvPr id="12" name="Rectangle 11">
          <a:extLst>
            <a:ext uri="{FF2B5EF4-FFF2-40B4-BE49-F238E27FC236}">
              <a16:creationId xmlns:a16="http://schemas.microsoft.com/office/drawing/2014/main" id="{8DB3C57F-C383-42E5-8794-3FC4C821CA03}"/>
            </a:ext>
          </a:extLst>
        </xdr:cNvPr>
        <xdr:cNvSpPr/>
      </xdr:nvSpPr>
      <xdr:spPr>
        <a:xfrm>
          <a:off x="12490638" y="3028071"/>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xdr:col>
      <xdr:colOff>286871</xdr:colOff>
      <xdr:row>8</xdr:row>
      <xdr:rowOff>430306</xdr:rowOff>
    </xdr:from>
    <xdr:to>
      <xdr:col>4</xdr:col>
      <xdr:colOff>592486</xdr:colOff>
      <xdr:row>8</xdr:row>
      <xdr:rowOff>710454</xdr:rowOff>
    </xdr:to>
    <xdr:sp macro="" textlink="">
      <xdr:nvSpPr>
        <xdr:cNvPr id="13" name="Rectangle 12">
          <a:extLst>
            <a:ext uri="{FF2B5EF4-FFF2-40B4-BE49-F238E27FC236}">
              <a16:creationId xmlns:a16="http://schemas.microsoft.com/office/drawing/2014/main" id="{5C229CE0-EC2B-4ED1-9C81-5E2EC2C4AC6B}"/>
            </a:ext>
          </a:extLst>
        </xdr:cNvPr>
        <xdr:cNvSpPr/>
      </xdr:nvSpPr>
      <xdr:spPr>
        <a:xfrm>
          <a:off x="9957547" y="3052482"/>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282388</xdr:colOff>
      <xdr:row>8</xdr:row>
      <xdr:rowOff>434107</xdr:rowOff>
    </xdr:from>
    <xdr:to>
      <xdr:col>5</xdr:col>
      <xdr:colOff>588003</xdr:colOff>
      <xdr:row>8</xdr:row>
      <xdr:rowOff>714255</xdr:rowOff>
    </xdr:to>
    <xdr:sp macro="" textlink="">
      <xdr:nvSpPr>
        <xdr:cNvPr id="14" name="Rectangle 13">
          <a:extLst>
            <a:ext uri="{FF2B5EF4-FFF2-40B4-BE49-F238E27FC236}">
              <a16:creationId xmlns:a16="http://schemas.microsoft.com/office/drawing/2014/main" id="{5713EAF6-D57E-4EA4-A39A-98A2DD0903D7}"/>
            </a:ext>
          </a:extLst>
        </xdr:cNvPr>
        <xdr:cNvSpPr/>
      </xdr:nvSpPr>
      <xdr:spPr>
        <a:xfrm>
          <a:off x="10782300" y="3056283"/>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6</xdr:col>
      <xdr:colOff>289114</xdr:colOff>
      <xdr:row>8</xdr:row>
      <xdr:rowOff>424264</xdr:rowOff>
    </xdr:from>
    <xdr:to>
      <xdr:col>6</xdr:col>
      <xdr:colOff>594729</xdr:colOff>
      <xdr:row>8</xdr:row>
      <xdr:rowOff>704412</xdr:rowOff>
    </xdr:to>
    <xdr:sp macro="" textlink="">
      <xdr:nvSpPr>
        <xdr:cNvPr id="15" name="Rectangle 14">
          <a:extLst>
            <a:ext uri="{FF2B5EF4-FFF2-40B4-BE49-F238E27FC236}">
              <a16:creationId xmlns:a16="http://schemas.microsoft.com/office/drawing/2014/main" id="{7A7F6E2E-5F18-41D3-9F35-E300402DD35D}"/>
            </a:ext>
          </a:extLst>
        </xdr:cNvPr>
        <xdr:cNvSpPr/>
      </xdr:nvSpPr>
      <xdr:spPr>
        <a:xfrm>
          <a:off x="11618261" y="3046440"/>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284632</xdr:colOff>
      <xdr:row>8</xdr:row>
      <xdr:rowOff>428064</xdr:rowOff>
    </xdr:from>
    <xdr:to>
      <xdr:col>7</xdr:col>
      <xdr:colOff>590247</xdr:colOff>
      <xdr:row>8</xdr:row>
      <xdr:rowOff>708212</xdr:rowOff>
    </xdr:to>
    <xdr:sp macro="" textlink="">
      <xdr:nvSpPr>
        <xdr:cNvPr id="16" name="Rectangle 15">
          <a:extLst>
            <a:ext uri="{FF2B5EF4-FFF2-40B4-BE49-F238E27FC236}">
              <a16:creationId xmlns:a16="http://schemas.microsoft.com/office/drawing/2014/main" id="{FA999F31-0FA5-4455-B7F7-41FD760ECF03}"/>
            </a:ext>
          </a:extLst>
        </xdr:cNvPr>
        <xdr:cNvSpPr/>
      </xdr:nvSpPr>
      <xdr:spPr>
        <a:xfrm>
          <a:off x="12443014" y="3050240"/>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8</xdr:col>
      <xdr:colOff>403413</xdr:colOff>
      <xdr:row>8</xdr:row>
      <xdr:rowOff>418221</xdr:rowOff>
    </xdr:from>
    <xdr:to>
      <xdr:col>8</xdr:col>
      <xdr:colOff>709028</xdr:colOff>
      <xdr:row>8</xdr:row>
      <xdr:rowOff>698369</xdr:rowOff>
    </xdr:to>
    <xdr:sp macro="" textlink="">
      <xdr:nvSpPr>
        <xdr:cNvPr id="17" name="Rectangle 16">
          <a:extLst>
            <a:ext uri="{FF2B5EF4-FFF2-40B4-BE49-F238E27FC236}">
              <a16:creationId xmlns:a16="http://schemas.microsoft.com/office/drawing/2014/main" id="{646B1472-2A3A-48E8-8A9D-ADA8FF893E7A}"/>
            </a:ext>
          </a:extLst>
        </xdr:cNvPr>
        <xdr:cNvSpPr/>
      </xdr:nvSpPr>
      <xdr:spPr>
        <a:xfrm>
          <a:off x="13391031" y="3040397"/>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xdr:col>
      <xdr:colOff>286871</xdr:colOff>
      <xdr:row>9</xdr:row>
      <xdr:rowOff>430306</xdr:rowOff>
    </xdr:from>
    <xdr:to>
      <xdr:col>4</xdr:col>
      <xdr:colOff>592486</xdr:colOff>
      <xdr:row>9</xdr:row>
      <xdr:rowOff>710454</xdr:rowOff>
    </xdr:to>
    <xdr:sp macro="" textlink="">
      <xdr:nvSpPr>
        <xdr:cNvPr id="18" name="Rectangle 17">
          <a:extLst>
            <a:ext uri="{FF2B5EF4-FFF2-40B4-BE49-F238E27FC236}">
              <a16:creationId xmlns:a16="http://schemas.microsoft.com/office/drawing/2014/main" id="{B87C1753-703B-4A89-BFBD-5CDB803973F9}"/>
            </a:ext>
          </a:extLst>
        </xdr:cNvPr>
        <xdr:cNvSpPr/>
      </xdr:nvSpPr>
      <xdr:spPr>
        <a:xfrm>
          <a:off x="9957547" y="3052482"/>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282388</xdr:colOff>
      <xdr:row>9</xdr:row>
      <xdr:rowOff>434107</xdr:rowOff>
    </xdr:from>
    <xdr:to>
      <xdr:col>5</xdr:col>
      <xdr:colOff>588003</xdr:colOff>
      <xdr:row>9</xdr:row>
      <xdr:rowOff>714255</xdr:rowOff>
    </xdr:to>
    <xdr:sp macro="" textlink="">
      <xdr:nvSpPr>
        <xdr:cNvPr id="19" name="Rectangle 18">
          <a:extLst>
            <a:ext uri="{FF2B5EF4-FFF2-40B4-BE49-F238E27FC236}">
              <a16:creationId xmlns:a16="http://schemas.microsoft.com/office/drawing/2014/main" id="{0852CC8A-80C8-4CFB-9AC9-F6E7DBF86BD5}"/>
            </a:ext>
          </a:extLst>
        </xdr:cNvPr>
        <xdr:cNvSpPr/>
      </xdr:nvSpPr>
      <xdr:spPr>
        <a:xfrm>
          <a:off x="10782300" y="3056283"/>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6</xdr:col>
      <xdr:colOff>289114</xdr:colOff>
      <xdr:row>9</xdr:row>
      <xdr:rowOff>424264</xdr:rowOff>
    </xdr:from>
    <xdr:to>
      <xdr:col>6</xdr:col>
      <xdr:colOff>594729</xdr:colOff>
      <xdr:row>9</xdr:row>
      <xdr:rowOff>704412</xdr:rowOff>
    </xdr:to>
    <xdr:sp macro="" textlink="">
      <xdr:nvSpPr>
        <xdr:cNvPr id="20" name="Rectangle 19">
          <a:extLst>
            <a:ext uri="{FF2B5EF4-FFF2-40B4-BE49-F238E27FC236}">
              <a16:creationId xmlns:a16="http://schemas.microsoft.com/office/drawing/2014/main" id="{12EBE235-7CFC-4EA3-B741-E95EEA0E5E2F}"/>
            </a:ext>
          </a:extLst>
        </xdr:cNvPr>
        <xdr:cNvSpPr/>
      </xdr:nvSpPr>
      <xdr:spPr>
        <a:xfrm>
          <a:off x="11618261" y="3046440"/>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284632</xdr:colOff>
      <xdr:row>9</xdr:row>
      <xdr:rowOff>428064</xdr:rowOff>
    </xdr:from>
    <xdr:to>
      <xdr:col>7</xdr:col>
      <xdr:colOff>590247</xdr:colOff>
      <xdr:row>9</xdr:row>
      <xdr:rowOff>708212</xdr:rowOff>
    </xdr:to>
    <xdr:sp macro="" textlink="">
      <xdr:nvSpPr>
        <xdr:cNvPr id="21" name="Rectangle 20">
          <a:extLst>
            <a:ext uri="{FF2B5EF4-FFF2-40B4-BE49-F238E27FC236}">
              <a16:creationId xmlns:a16="http://schemas.microsoft.com/office/drawing/2014/main" id="{FFCF30D3-188D-413B-8FB0-7A9D747E4E58}"/>
            </a:ext>
          </a:extLst>
        </xdr:cNvPr>
        <xdr:cNvSpPr/>
      </xdr:nvSpPr>
      <xdr:spPr>
        <a:xfrm>
          <a:off x="12443014" y="3050240"/>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8</xdr:col>
      <xdr:colOff>403413</xdr:colOff>
      <xdr:row>9</xdr:row>
      <xdr:rowOff>418221</xdr:rowOff>
    </xdr:from>
    <xdr:to>
      <xdr:col>8</xdr:col>
      <xdr:colOff>709028</xdr:colOff>
      <xdr:row>9</xdr:row>
      <xdr:rowOff>698369</xdr:rowOff>
    </xdr:to>
    <xdr:sp macro="" textlink="">
      <xdr:nvSpPr>
        <xdr:cNvPr id="22" name="Rectangle 21">
          <a:extLst>
            <a:ext uri="{FF2B5EF4-FFF2-40B4-BE49-F238E27FC236}">
              <a16:creationId xmlns:a16="http://schemas.microsoft.com/office/drawing/2014/main" id="{FEBDF0D6-AD4D-4182-B9C9-02546AFFC6EA}"/>
            </a:ext>
          </a:extLst>
        </xdr:cNvPr>
        <xdr:cNvSpPr/>
      </xdr:nvSpPr>
      <xdr:spPr>
        <a:xfrm>
          <a:off x="13391031" y="3040397"/>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xdr:col>
      <xdr:colOff>286871</xdr:colOff>
      <xdr:row>10</xdr:row>
      <xdr:rowOff>430306</xdr:rowOff>
    </xdr:from>
    <xdr:to>
      <xdr:col>4</xdr:col>
      <xdr:colOff>592486</xdr:colOff>
      <xdr:row>10</xdr:row>
      <xdr:rowOff>710454</xdr:rowOff>
    </xdr:to>
    <xdr:sp macro="" textlink="">
      <xdr:nvSpPr>
        <xdr:cNvPr id="23" name="Rectangle 22">
          <a:extLst>
            <a:ext uri="{FF2B5EF4-FFF2-40B4-BE49-F238E27FC236}">
              <a16:creationId xmlns:a16="http://schemas.microsoft.com/office/drawing/2014/main" id="{F6C91C8E-2D09-46B3-8B4A-9E4DAA77D4D1}"/>
            </a:ext>
          </a:extLst>
        </xdr:cNvPr>
        <xdr:cNvSpPr/>
      </xdr:nvSpPr>
      <xdr:spPr>
        <a:xfrm>
          <a:off x="9957547" y="3052482"/>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282388</xdr:colOff>
      <xdr:row>10</xdr:row>
      <xdr:rowOff>434107</xdr:rowOff>
    </xdr:from>
    <xdr:to>
      <xdr:col>5</xdr:col>
      <xdr:colOff>588003</xdr:colOff>
      <xdr:row>10</xdr:row>
      <xdr:rowOff>714255</xdr:rowOff>
    </xdr:to>
    <xdr:sp macro="" textlink="">
      <xdr:nvSpPr>
        <xdr:cNvPr id="24" name="Rectangle 23">
          <a:extLst>
            <a:ext uri="{FF2B5EF4-FFF2-40B4-BE49-F238E27FC236}">
              <a16:creationId xmlns:a16="http://schemas.microsoft.com/office/drawing/2014/main" id="{AA69A55F-DB1A-4BB4-96E6-EE20DA992E4B}"/>
            </a:ext>
          </a:extLst>
        </xdr:cNvPr>
        <xdr:cNvSpPr/>
      </xdr:nvSpPr>
      <xdr:spPr>
        <a:xfrm>
          <a:off x="10782300" y="3056283"/>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6</xdr:col>
      <xdr:colOff>289114</xdr:colOff>
      <xdr:row>10</xdr:row>
      <xdr:rowOff>424264</xdr:rowOff>
    </xdr:from>
    <xdr:to>
      <xdr:col>6</xdr:col>
      <xdr:colOff>594729</xdr:colOff>
      <xdr:row>10</xdr:row>
      <xdr:rowOff>704412</xdr:rowOff>
    </xdr:to>
    <xdr:sp macro="" textlink="">
      <xdr:nvSpPr>
        <xdr:cNvPr id="25" name="Rectangle 24">
          <a:extLst>
            <a:ext uri="{FF2B5EF4-FFF2-40B4-BE49-F238E27FC236}">
              <a16:creationId xmlns:a16="http://schemas.microsoft.com/office/drawing/2014/main" id="{723F074E-5DAA-4F53-A5B0-CE83D1F72683}"/>
            </a:ext>
          </a:extLst>
        </xdr:cNvPr>
        <xdr:cNvSpPr/>
      </xdr:nvSpPr>
      <xdr:spPr>
        <a:xfrm>
          <a:off x="11618261" y="3046440"/>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284632</xdr:colOff>
      <xdr:row>10</xdr:row>
      <xdr:rowOff>428064</xdr:rowOff>
    </xdr:from>
    <xdr:to>
      <xdr:col>7</xdr:col>
      <xdr:colOff>590247</xdr:colOff>
      <xdr:row>10</xdr:row>
      <xdr:rowOff>708212</xdr:rowOff>
    </xdr:to>
    <xdr:sp macro="" textlink="">
      <xdr:nvSpPr>
        <xdr:cNvPr id="26" name="Rectangle 25">
          <a:extLst>
            <a:ext uri="{FF2B5EF4-FFF2-40B4-BE49-F238E27FC236}">
              <a16:creationId xmlns:a16="http://schemas.microsoft.com/office/drawing/2014/main" id="{EFF4358D-F967-4224-BB15-FFE9A09D4D9A}"/>
            </a:ext>
          </a:extLst>
        </xdr:cNvPr>
        <xdr:cNvSpPr/>
      </xdr:nvSpPr>
      <xdr:spPr>
        <a:xfrm>
          <a:off x="12443014" y="3050240"/>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8</xdr:col>
      <xdr:colOff>403413</xdr:colOff>
      <xdr:row>10</xdr:row>
      <xdr:rowOff>418221</xdr:rowOff>
    </xdr:from>
    <xdr:to>
      <xdr:col>8</xdr:col>
      <xdr:colOff>709028</xdr:colOff>
      <xdr:row>10</xdr:row>
      <xdr:rowOff>698369</xdr:rowOff>
    </xdr:to>
    <xdr:sp macro="" textlink="">
      <xdr:nvSpPr>
        <xdr:cNvPr id="27" name="Rectangle 26">
          <a:extLst>
            <a:ext uri="{FF2B5EF4-FFF2-40B4-BE49-F238E27FC236}">
              <a16:creationId xmlns:a16="http://schemas.microsoft.com/office/drawing/2014/main" id="{048B0002-46BE-4CB9-8971-97C73D99C1BC}"/>
            </a:ext>
          </a:extLst>
        </xdr:cNvPr>
        <xdr:cNvSpPr/>
      </xdr:nvSpPr>
      <xdr:spPr>
        <a:xfrm>
          <a:off x="13391031" y="3040397"/>
          <a:ext cx="305615" cy="280148"/>
        </a:xfrm>
        <a:prstGeom prst="rect">
          <a:avLst/>
        </a:prstGeom>
        <a:solidFill>
          <a:schemeClr val="bg1"/>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217714</xdr:colOff>
      <xdr:row>1</xdr:row>
      <xdr:rowOff>1</xdr:rowOff>
    </xdr:from>
    <xdr:to>
      <xdr:col>2</xdr:col>
      <xdr:colOff>838200</xdr:colOff>
      <xdr:row>4</xdr:row>
      <xdr:rowOff>9525</xdr:rowOff>
    </xdr:to>
    <xdr:pic>
      <xdr:nvPicPr>
        <xdr:cNvPr id="2" name="Picture 1">
          <a:extLst>
            <a:ext uri="{FF2B5EF4-FFF2-40B4-BE49-F238E27FC236}">
              <a16:creationId xmlns:a16="http://schemas.microsoft.com/office/drawing/2014/main" id="{50E9A5A5-17F0-4E12-97FA-835CF948AA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0857" y="231322"/>
          <a:ext cx="1055914" cy="9892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10</xdr:row>
      <xdr:rowOff>80432</xdr:rowOff>
    </xdr:from>
    <xdr:to>
      <xdr:col>2</xdr:col>
      <xdr:colOff>305686</xdr:colOff>
      <xdr:row>10</xdr:row>
      <xdr:rowOff>318557</xdr:rowOff>
    </xdr:to>
    <xdr:sp macro="" textlink="">
      <xdr:nvSpPr>
        <xdr:cNvPr id="2" name="Chevron 1">
          <a:extLst>
            <a:ext uri="{FF2B5EF4-FFF2-40B4-BE49-F238E27FC236}">
              <a16:creationId xmlns:a16="http://schemas.microsoft.com/office/drawing/2014/main" id="{00000000-0008-0000-0A00-000002000000}"/>
            </a:ext>
          </a:extLst>
        </xdr:cNvPr>
        <xdr:cNvSpPr/>
      </xdr:nvSpPr>
      <xdr:spPr>
        <a:xfrm>
          <a:off x="1714500" y="1985432"/>
          <a:ext cx="305686" cy="238125"/>
        </a:xfrm>
        <a:prstGeom prst="chevron">
          <a:avLst/>
        </a:prstGeom>
        <a:solidFill>
          <a:schemeClr val="accent1">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0</xdr:colOff>
      <xdr:row>11</xdr:row>
      <xdr:rowOff>87841</xdr:rowOff>
    </xdr:from>
    <xdr:to>
      <xdr:col>2</xdr:col>
      <xdr:colOff>299041</xdr:colOff>
      <xdr:row>11</xdr:row>
      <xdr:rowOff>325966</xdr:rowOff>
    </xdr:to>
    <xdr:sp macro="" textlink="">
      <xdr:nvSpPr>
        <xdr:cNvPr id="3" name="Chevron 2">
          <a:extLst>
            <a:ext uri="{FF2B5EF4-FFF2-40B4-BE49-F238E27FC236}">
              <a16:creationId xmlns:a16="http://schemas.microsoft.com/office/drawing/2014/main" id="{00000000-0008-0000-0A00-000003000000}"/>
            </a:ext>
          </a:extLst>
        </xdr:cNvPr>
        <xdr:cNvSpPr/>
      </xdr:nvSpPr>
      <xdr:spPr>
        <a:xfrm>
          <a:off x="1714500" y="2430991"/>
          <a:ext cx="299041" cy="238125"/>
        </a:xfrm>
        <a:prstGeom prst="chevron">
          <a:avLst/>
        </a:prstGeom>
        <a:solidFill>
          <a:schemeClr val="accent2">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0</xdr:colOff>
      <xdr:row>12</xdr:row>
      <xdr:rowOff>97366</xdr:rowOff>
    </xdr:from>
    <xdr:to>
      <xdr:col>2</xdr:col>
      <xdr:colOff>305686</xdr:colOff>
      <xdr:row>12</xdr:row>
      <xdr:rowOff>335491</xdr:rowOff>
    </xdr:to>
    <xdr:sp macro="" textlink="">
      <xdr:nvSpPr>
        <xdr:cNvPr id="4" name="Chevron 3">
          <a:extLst>
            <a:ext uri="{FF2B5EF4-FFF2-40B4-BE49-F238E27FC236}">
              <a16:creationId xmlns:a16="http://schemas.microsoft.com/office/drawing/2014/main" id="{00000000-0008-0000-0A00-000004000000}"/>
            </a:ext>
          </a:extLst>
        </xdr:cNvPr>
        <xdr:cNvSpPr/>
      </xdr:nvSpPr>
      <xdr:spPr>
        <a:xfrm>
          <a:off x="1714500" y="2878666"/>
          <a:ext cx="305686" cy="238125"/>
        </a:xfrm>
        <a:prstGeom prst="chevron">
          <a:avLst/>
        </a:prstGeom>
        <a:solidFill>
          <a:schemeClr val="accent3">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1</xdr:colOff>
      <xdr:row>13</xdr:row>
      <xdr:rowOff>87841</xdr:rowOff>
    </xdr:from>
    <xdr:to>
      <xdr:col>2</xdr:col>
      <xdr:colOff>285751</xdr:colOff>
      <xdr:row>13</xdr:row>
      <xdr:rowOff>325966</xdr:rowOff>
    </xdr:to>
    <xdr:sp macro="" textlink="">
      <xdr:nvSpPr>
        <xdr:cNvPr id="5" name="Chevron 4">
          <a:extLst>
            <a:ext uri="{FF2B5EF4-FFF2-40B4-BE49-F238E27FC236}">
              <a16:creationId xmlns:a16="http://schemas.microsoft.com/office/drawing/2014/main" id="{00000000-0008-0000-0A00-000005000000}"/>
            </a:ext>
          </a:extLst>
        </xdr:cNvPr>
        <xdr:cNvSpPr/>
      </xdr:nvSpPr>
      <xdr:spPr>
        <a:xfrm>
          <a:off x="1714501" y="3307291"/>
          <a:ext cx="285750" cy="238125"/>
        </a:xfrm>
        <a:prstGeom prst="chevron">
          <a:avLst/>
        </a:prstGeom>
        <a:solidFill>
          <a:schemeClr val="accent6">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567265</xdr:colOff>
      <xdr:row>10</xdr:row>
      <xdr:rowOff>88900</xdr:rowOff>
    </xdr:from>
    <xdr:to>
      <xdr:col>6</xdr:col>
      <xdr:colOff>10584</xdr:colOff>
      <xdr:row>10</xdr:row>
      <xdr:rowOff>328083</xdr:rowOff>
    </xdr:to>
    <xdr:sp macro="" textlink="">
      <xdr:nvSpPr>
        <xdr:cNvPr id="6" name="Chevron 5">
          <a:extLst>
            <a:ext uri="{FF2B5EF4-FFF2-40B4-BE49-F238E27FC236}">
              <a16:creationId xmlns:a16="http://schemas.microsoft.com/office/drawing/2014/main" id="{00000000-0008-0000-0A00-000006000000}"/>
            </a:ext>
          </a:extLst>
        </xdr:cNvPr>
        <xdr:cNvSpPr/>
      </xdr:nvSpPr>
      <xdr:spPr>
        <a:xfrm>
          <a:off x="2700865" y="1993900"/>
          <a:ext cx="1157819" cy="239183"/>
        </a:xfrm>
        <a:prstGeom prst="chevron">
          <a:avLst/>
        </a:prstGeom>
        <a:solidFill>
          <a:schemeClr val="accent1">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00" kern="1200">
              <a:solidFill>
                <a:schemeClr val="tx1"/>
              </a:solidFill>
              <a:effectLst/>
              <a:latin typeface="+mn-lt"/>
              <a:ea typeface="+mn-ea"/>
              <a:cs typeface="+mn-cs"/>
            </a:rPr>
            <a:t>Walkthrough</a:t>
          </a:r>
          <a:endParaRPr lang="en-US" sz="1000">
            <a:solidFill>
              <a:schemeClr val="tx1"/>
            </a:solidFill>
            <a:effectLst/>
          </a:endParaRPr>
        </a:p>
      </xdr:txBody>
    </xdr:sp>
    <xdr:clientData/>
  </xdr:twoCellAnchor>
  <xdr:twoCellAnchor>
    <xdr:from>
      <xdr:col>6</xdr:col>
      <xdr:colOff>12699</xdr:colOff>
      <xdr:row>11</xdr:row>
      <xdr:rowOff>98425</xdr:rowOff>
    </xdr:from>
    <xdr:to>
      <xdr:col>8</xdr:col>
      <xdr:colOff>0</xdr:colOff>
      <xdr:row>11</xdr:row>
      <xdr:rowOff>317501</xdr:rowOff>
    </xdr:to>
    <xdr:sp macro="" textlink="">
      <xdr:nvSpPr>
        <xdr:cNvPr id="7" name="Chevron 6">
          <a:extLst>
            <a:ext uri="{FF2B5EF4-FFF2-40B4-BE49-F238E27FC236}">
              <a16:creationId xmlns:a16="http://schemas.microsoft.com/office/drawing/2014/main" id="{00000000-0008-0000-0A00-000007000000}"/>
            </a:ext>
          </a:extLst>
        </xdr:cNvPr>
        <xdr:cNvSpPr/>
      </xdr:nvSpPr>
      <xdr:spPr>
        <a:xfrm>
          <a:off x="3860799" y="2441575"/>
          <a:ext cx="1130301" cy="219076"/>
        </a:xfrm>
        <a:prstGeom prst="chevron">
          <a:avLst/>
        </a:prstGeom>
        <a:solidFill>
          <a:schemeClr val="accent2">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Walkthrough</a:t>
          </a:r>
        </a:p>
      </xdr:txBody>
    </xdr:sp>
    <xdr:clientData/>
  </xdr:twoCellAnchor>
  <xdr:twoCellAnchor>
    <xdr:from>
      <xdr:col>8</xdr:col>
      <xdr:colOff>14816</xdr:colOff>
      <xdr:row>12</xdr:row>
      <xdr:rowOff>88899</xdr:rowOff>
    </xdr:from>
    <xdr:to>
      <xdr:col>10</xdr:col>
      <xdr:colOff>4232</xdr:colOff>
      <xdr:row>12</xdr:row>
      <xdr:rowOff>338666</xdr:rowOff>
    </xdr:to>
    <xdr:sp macro="" textlink="">
      <xdr:nvSpPr>
        <xdr:cNvPr id="8" name="Chevron 7">
          <a:extLst>
            <a:ext uri="{FF2B5EF4-FFF2-40B4-BE49-F238E27FC236}">
              <a16:creationId xmlns:a16="http://schemas.microsoft.com/office/drawing/2014/main" id="{00000000-0008-0000-0A00-000008000000}"/>
            </a:ext>
          </a:extLst>
        </xdr:cNvPr>
        <xdr:cNvSpPr/>
      </xdr:nvSpPr>
      <xdr:spPr>
        <a:xfrm>
          <a:off x="5005916" y="2870199"/>
          <a:ext cx="1132416" cy="249767"/>
        </a:xfrm>
        <a:prstGeom prst="chevron">
          <a:avLst/>
        </a:prstGeom>
        <a:solidFill>
          <a:schemeClr val="accent3">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00" kern="1200">
              <a:solidFill>
                <a:schemeClr val="tx1"/>
              </a:solidFill>
              <a:effectLst/>
              <a:latin typeface="+mn-lt"/>
              <a:ea typeface="+mn-ea"/>
              <a:cs typeface="+mn-cs"/>
            </a:rPr>
            <a:t>Walkthrough</a:t>
          </a:r>
          <a:endParaRPr lang="en-US" sz="1000">
            <a:solidFill>
              <a:schemeClr val="tx1"/>
            </a:solidFill>
            <a:effectLst/>
          </a:endParaRPr>
        </a:p>
      </xdr:txBody>
    </xdr:sp>
    <xdr:clientData/>
  </xdr:twoCellAnchor>
  <xdr:twoCellAnchor>
    <xdr:from>
      <xdr:col>9</xdr:col>
      <xdr:colOff>566206</xdr:colOff>
      <xdr:row>13</xdr:row>
      <xdr:rowOff>86783</xdr:rowOff>
    </xdr:from>
    <xdr:to>
      <xdr:col>12</xdr:col>
      <xdr:colOff>1</xdr:colOff>
      <xdr:row>13</xdr:row>
      <xdr:rowOff>338666</xdr:rowOff>
    </xdr:to>
    <xdr:sp macro="" textlink="">
      <xdr:nvSpPr>
        <xdr:cNvPr id="9" name="Chevron 8">
          <a:extLst>
            <a:ext uri="{FF2B5EF4-FFF2-40B4-BE49-F238E27FC236}">
              <a16:creationId xmlns:a16="http://schemas.microsoft.com/office/drawing/2014/main" id="{00000000-0008-0000-0A00-000009000000}"/>
            </a:ext>
          </a:extLst>
        </xdr:cNvPr>
        <xdr:cNvSpPr/>
      </xdr:nvSpPr>
      <xdr:spPr>
        <a:xfrm>
          <a:off x="6128806" y="3306233"/>
          <a:ext cx="1148295" cy="251883"/>
        </a:xfrm>
        <a:prstGeom prst="chevron">
          <a:avLst/>
        </a:prstGeom>
        <a:solidFill>
          <a:schemeClr val="accent6">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00" kern="1200">
              <a:solidFill>
                <a:schemeClr val="tx1"/>
              </a:solidFill>
              <a:effectLst/>
              <a:latin typeface="+mn-lt"/>
              <a:ea typeface="+mn-ea"/>
              <a:cs typeface="+mn-cs"/>
            </a:rPr>
            <a:t>Walkthrough</a:t>
          </a:r>
          <a:endParaRPr lang="en-US" sz="1000">
            <a:solidFill>
              <a:schemeClr val="tx1"/>
            </a:solidFill>
            <a:effectLst/>
          </a:endParaRPr>
        </a:p>
      </xdr:txBody>
    </xdr:sp>
    <xdr:clientData/>
  </xdr:twoCellAnchor>
  <xdr:twoCellAnchor>
    <xdr:from>
      <xdr:col>8</xdr:col>
      <xdr:colOff>9530</xdr:colOff>
      <xdr:row>10</xdr:row>
      <xdr:rowOff>97366</xdr:rowOff>
    </xdr:from>
    <xdr:to>
      <xdr:col>13</xdr:col>
      <xdr:colOff>10583</xdr:colOff>
      <xdr:row>10</xdr:row>
      <xdr:rowOff>349250</xdr:rowOff>
    </xdr:to>
    <xdr:sp macro="" textlink="">
      <xdr:nvSpPr>
        <xdr:cNvPr id="10" name="Chevron 9">
          <a:extLst>
            <a:ext uri="{FF2B5EF4-FFF2-40B4-BE49-F238E27FC236}">
              <a16:creationId xmlns:a16="http://schemas.microsoft.com/office/drawing/2014/main" id="{00000000-0008-0000-0A00-00000A000000}"/>
            </a:ext>
          </a:extLst>
        </xdr:cNvPr>
        <xdr:cNvSpPr/>
      </xdr:nvSpPr>
      <xdr:spPr>
        <a:xfrm>
          <a:off x="5000630" y="2002366"/>
          <a:ext cx="2858553" cy="251884"/>
        </a:xfrm>
        <a:prstGeom prst="chevron">
          <a:avLst/>
        </a:prstGeom>
        <a:solidFill>
          <a:schemeClr val="accent1">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00" kern="1200">
              <a:solidFill>
                <a:schemeClr val="tx1"/>
              </a:solidFill>
              <a:effectLst/>
              <a:latin typeface="+mn-lt"/>
              <a:ea typeface="+mn-ea"/>
              <a:cs typeface="+mn-cs"/>
            </a:rPr>
            <a:t>Confirmation</a:t>
          </a:r>
          <a:endParaRPr lang="en-US" sz="1000">
            <a:solidFill>
              <a:schemeClr val="tx1"/>
            </a:solidFill>
            <a:effectLst/>
          </a:endParaRPr>
        </a:p>
      </xdr:txBody>
    </xdr:sp>
    <xdr:clientData/>
  </xdr:twoCellAnchor>
  <xdr:twoCellAnchor>
    <xdr:from>
      <xdr:col>10</xdr:col>
      <xdr:colOff>2118</xdr:colOff>
      <xdr:row>11</xdr:row>
      <xdr:rowOff>77259</xdr:rowOff>
    </xdr:from>
    <xdr:to>
      <xdr:col>13</xdr:col>
      <xdr:colOff>21167</xdr:colOff>
      <xdr:row>11</xdr:row>
      <xdr:rowOff>338667</xdr:rowOff>
    </xdr:to>
    <xdr:sp macro="" textlink="">
      <xdr:nvSpPr>
        <xdr:cNvPr id="11" name="Chevron 10">
          <a:extLst>
            <a:ext uri="{FF2B5EF4-FFF2-40B4-BE49-F238E27FC236}">
              <a16:creationId xmlns:a16="http://schemas.microsoft.com/office/drawing/2014/main" id="{00000000-0008-0000-0A00-00000B000000}"/>
            </a:ext>
          </a:extLst>
        </xdr:cNvPr>
        <xdr:cNvSpPr/>
      </xdr:nvSpPr>
      <xdr:spPr>
        <a:xfrm>
          <a:off x="6136218" y="2420409"/>
          <a:ext cx="1733549" cy="261408"/>
        </a:xfrm>
        <a:prstGeom prst="chevron">
          <a:avLst/>
        </a:prstGeom>
        <a:solidFill>
          <a:schemeClr val="accent2">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00" kern="1200">
              <a:solidFill>
                <a:schemeClr val="tx1"/>
              </a:solidFill>
              <a:effectLst/>
              <a:latin typeface="+mn-lt"/>
              <a:ea typeface="+mn-ea"/>
              <a:cs typeface="+mn-cs"/>
            </a:rPr>
            <a:t>Confirmation</a:t>
          </a:r>
          <a:endParaRPr lang="en-US" sz="1000">
            <a:solidFill>
              <a:schemeClr val="tx1"/>
            </a:solidFill>
            <a:effectLst/>
          </a:endParaRPr>
        </a:p>
      </xdr:txBody>
    </xdr:sp>
    <xdr:clientData/>
  </xdr:twoCellAnchor>
  <xdr:twoCellAnchor>
    <xdr:from>
      <xdr:col>11</xdr:col>
      <xdr:colOff>565150</xdr:colOff>
      <xdr:row>12</xdr:row>
      <xdr:rowOff>118533</xdr:rowOff>
    </xdr:from>
    <xdr:to>
      <xdr:col>14</xdr:col>
      <xdr:colOff>571499</xdr:colOff>
      <xdr:row>12</xdr:row>
      <xdr:rowOff>349250</xdr:rowOff>
    </xdr:to>
    <xdr:sp macro="" textlink="">
      <xdr:nvSpPr>
        <xdr:cNvPr id="12" name="Chevron 11">
          <a:extLst>
            <a:ext uri="{FF2B5EF4-FFF2-40B4-BE49-F238E27FC236}">
              <a16:creationId xmlns:a16="http://schemas.microsoft.com/office/drawing/2014/main" id="{00000000-0008-0000-0A00-00000C000000}"/>
            </a:ext>
          </a:extLst>
        </xdr:cNvPr>
        <xdr:cNvSpPr/>
      </xdr:nvSpPr>
      <xdr:spPr>
        <a:xfrm>
          <a:off x="7270750" y="2899833"/>
          <a:ext cx="1720849" cy="230717"/>
        </a:xfrm>
        <a:prstGeom prst="chevron">
          <a:avLst/>
        </a:prstGeom>
        <a:solidFill>
          <a:schemeClr val="accent3">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00" kern="1200">
              <a:solidFill>
                <a:schemeClr val="tx1"/>
              </a:solidFill>
              <a:effectLst/>
              <a:latin typeface="+mn-lt"/>
              <a:ea typeface="+mn-ea"/>
              <a:cs typeface="+mn-cs"/>
            </a:rPr>
            <a:t>Confirmation</a:t>
          </a:r>
          <a:endParaRPr lang="en-US" sz="1000">
            <a:solidFill>
              <a:schemeClr val="tx1"/>
            </a:solidFill>
            <a:effectLst/>
          </a:endParaRPr>
        </a:p>
      </xdr:txBody>
    </xdr:sp>
    <xdr:clientData/>
  </xdr:twoCellAnchor>
  <xdr:twoCellAnchor>
    <xdr:from>
      <xdr:col>1</xdr:col>
      <xdr:colOff>0</xdr:colOff>
      <xdr:row>2</xdr:row>
      <xdr:rowOff>12859</xdr:rowOff>
    </xdr:from>
    <xdr:to>
      <xdr:col>13</xdr:col>
      <xdr:colOff>0</xdr:colOff>
      <xdr:row>5</xdr:row>
      <xdr:rowOff>177319</xdr:rowOff>
    </xdr:to>
    <xdr:grpSp>
      <xdr:nvGrpSpPr>
        <xdr:cNvPr id="13" name="Group 12">
          <a:extLst>
            <a:ext uri="{FF2B5EF4-FFF2-40B4-BE49-F238E27FC236}">
              <a16:creationId xmlns:a16="http://schemas.microsoft.com/office/drawing/2014/main" id="{00000000-0008-0000-0A00-00000D000000}"/>
            </a:ext>
          </a:extLst>
        </xdr:cNvPr>
        <xdr:cNvGrpSpPr/>
      </xdr:nvGrpSpPr>
      <xdr:grpSpPr>
        <a:xfrm>
          <a:off x="609600" y="393859"/>
          <a:ext cx="7239000" cy="735960"/>
          <a:chOff x="154781" y="202407"/>
          <a:chExt cx="15582903" cy="726277"/>
        </a:xfrm>
      </xdr:grpSpPr>
      <xdr:cxnSp macro="">
        <xdr:nvCxnSpPr>
          <xdr:cNvPr id="14" name="Straight Connector 13">
            <a:extLst>
              <a:ext uri="{FF2B5EF4-FFF2-40B4-BE49-F238E27FC236}">
                <a16:creationId xmlns:a16="http://schemas.microsoft.com/office/drawing/2014/main" id="{00000000-0008-0000-0A00-00000E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5" name="Straight Connector 14">
            <a:extLst>
              <a:ext uri="{FF2B5EF4-FFF2-40B4-BE49-F238E27FC236}">
                <a16:creationId xmlns:a16="http://schemas.microsoft.com/office/drawing/2014/main" id="{00000000-0008-0000-0A00-00000F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6" name="TextBox 15">
            <a:extLst>
              <a:ext uri="{FF2B5EF4-FFF2-40B4-BE49-F238E27FC236}">
                <a16:creationId xmlns:a16="http://schemas.microsoft.com/office/drawing/2014/main" id="{00000000-0008-0000-0A00-000010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17" name="TextBox 16">
            <a:extLst>
              <a:ext uri="{FF2B5EF4-FFF2-40B4-BE49-F238E27FC236}">
                <a16:creationId xmlns:a16="http://schemas.microsoft.com/office/drawing/2014/main" id="{00000000-0008-0000-0A00-000011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18" name="Straight Connector 17">
            <a:extLst>
              <a:ext uri="{FF2B5EF4-FFF2-40B4-BE49-F238E27FC236}">
                <a16:creationId xmlns:a16="http://schemas.microsoft.com/office/drawing/2014/main" id="{00000000-0008-0000-0A00-000012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35720</xdr:colOff>
      <xdr:row>1</xdr:row>
      <xdr:rowOff>0</xdr:rowOff>
    </xdr:from>
    <xdr:to>
      <xdr:col>15</xdr:col>
      <xdr:colOff>0</xdr:colOff>
      <xdr:row>5</xdr:row>
      <xdr:rowOff>189543</xdr:rowOff>
    </xdr:to>
    <xdr:sp macro="" textlink="">
      <xdr:nvSpPr>
        <xdr:cNvPr id="19" name="Rectangle 18">
          <a:extLst>
            <a:ext uri="{FF2B5EF4-FFF2-40B4-BE49-F238E27FC236}">
              <a16:creationId xmlns:a16="http://schemas.microsoft.com/office/drawing/2014/main" id="{00000000-0008-0000-0A00-000013000000}"/>
            </a:ext>
          </a:extLst>
        </xdr:cNvPr>
        <xdr:cNvSpPr/>
      </xdr:nvSpPr>
      <xdr:spPr>
        <a:xfrm>
          <a:off x="645320" y="190500"/>
          <a:ext cx="8346280" cy="951543"/>
        </a:xfrm>
        <a:prstGeom prst="rect">
          <a:avLst/>
        </a:prstGeom>
        <a:solidFill>
          <a:schemeClr val="bg2">
            <a:lumMod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1</xdr:col>
      <xdr:colOff>0</xdr:colOff>
      <xdr:row>1</xdr:row>
      <xdr:rowOff>51814</xdr:rowOff>
    </xdr:from>
    <xdr:to>
      <xdr:col>15</xdr:col>
      <xdr:colOff>3175</xdr:colOff>
      <xdr:row>5</xdr:row>
      <xdr:rowOff>169468</xdr:rowOff>
    </xdr:to>
    <xdr:grpSp>
      <xdr:nvGrpSpPr>
        <xdr:cNvPr id="20" name="Group 19">
          <a:extLst>
            <a:ext uri="{FF2B5EF4-FFF2-40B4-BE49-F238E27FC236}">
              <a16:creationId xmlns:a16="http://schemas.microsoft.com/office/drawing/2014/main" id="{00000000-0008-0000-0A00-000014000000}"/>
            </a:ext>
          </a:extLst>
        </xdr:cNvPr>
        <xdr:cNvGrpSpPr/>
      </xdr:nvGrpSpPr>
      <xdr:grpSpPr>
        <a:xfrm>
          <a:off x="609600" y="242314"/>
          <a:ext cx="8385175" cy="879654"/>
          <a:chOff x="154781" y="178909"/>
          <a:chExt cx="15612571" cy="730971"/>
        </a:xfrm>
      </xdr:grpSpPr>
      <xdr:cxnSp macro="">
        <xdr:nvCxnSpPr>
          <xdr:cNvPr id="21" name="Straight Connector 20">
            <a:extLst>
              <a:ext uri="{FF2B5EF4-FFF2-40B4-BE49-F238E27FC236}">
                <a16:creationId xmlns:a16="http://schemas.microsoft.com/office/drawing/2014/main" id="{00000000-0008-0000-0A00-000015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2" name="Straight Connector 21">
            <a:extLst>
              <a:ext uri="{FF2B5EF4-FFF2-40B4-BE49-F238E27FC236}">
                <a16:creationId xmlns:a16="http://schemas.microsoft.com/office/drawing/2014/main" id="{00000000-0008-0000-0A00-000016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3" name="TextBox 22">
            <a:extLst>
              <a:ext uri="{FF2B5EF4-FFF2-40B4-BE49-F238E27FC236}">
                <a16:creationId xmlns:a16="http://schemas.microsoft.com/office/drawing/2014/main" id="{00000000-0008-0000-0A00-000017000000}"/>
              </a:ext>
            </a:extLst>
          </xdr:cNvPr>
          <xdr:cNvSpPr txBox="1"/>
        </xdr:nvSpPr>
        <xdr:spPr>
          <a:xfrm>
            <a:off x="2156260" y="516974"/>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Processeing System</a:t>
            </a:r>
            <a:endParaRPr lang="en-US" sz="2000" b="1">
              <a:solidFill>
                <a:schemeClr val="bg1"/>
              </a:solidFill>
              <a:latin typeface="+mj-lt"/>
            </a:endParaRPr>
          </a:p>
        </xdr:txBody>
      </xdr:sp>
      <xdr:sp macro="" textlink="">
        <xdr:nvSpPr>
          <xdr:cNvPr id="24" name="TextBox 23">
            <a:extLst>
              <a:ext uri="{FF2B5EF4-FFF2-40B4-BE49-F238E27FC236}">
                <a16:creationId xmlns:a16="http://schemas.microsoft.com/office/drawing/2014/main" id="{00000000-0008-0000-0A00-000018000000}"/>
              </a:ext>
            </a:extLst>
          </xdr:cNvPr>
          <xdr:cNvSpPr txBox="1"/>
        </xdr:nvSpPr>
        <xdr:spPr>
          <a:xfrm>
            <a:off x="2155981"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Ulticon</a:t>
            </a:r>
            <a:r>
              <a:rPr lang="en-US" sz="2000" b="1" baseline="0">
                <a:solidFill>
                  <a:schemeClr val="bg1"/>
                </a:solidFill>
                <a:latin typeface="+mj-lt"/>
              </a:rPr>
              <a:t> Builders, Inc.</a:t>
            </a:r>
          </a:p>
        </xdr:txBody>
      </xdr:sp>
      <xdr:cxnSp macro="">
        <xdr:nvCxnSpPr>
          <xdr:cNvPr id="25" name="Straight Connector 24">
            <a:extLst>
              <a:ext uri="{FF2B5EF4-FFF2-40B4-BE49-F238E27FC236}">
                <a16:creationId xmlns:a16="http://schemas.microsoft.com/office/drawing/2014/main" id="{00000000-0008-0000-0A00-000019000000}"/>
              </a:ext>
            </a:extLst>
          </xdr:cNvPr>
          <xdr:cNvCxnSpPr/>
        </xdr:nvCxnSpPr>
        <xdr:spPr>
          <a:xfrm flipV="1">
            <a:off x="73732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95255</xdr:colOff>
      <xdr:row>1</xdr:row>
      <xdr:rowOff>59531</xdr:rowOff>
    </xdr:from>
    <xdr:to>
      <xdr:col>1</xdr:col>
      <xdr:colOff>979490</xdr:colOff>
      <xdr:row>5</xdr:row>
      <xdr:rowOff>119062</xdr:rowOff>
    </xdr:to>
    <xdr:pic>
      <xdr:nvPicPr>
        <xdr:cNvPr id="26" name="Picture 25">
          <a:extLst>
            <a:ext uri="{FF2B5EF4-FFF2-40B4-BE49-F238E27FC236}">
              <a16:creationId xmlns:a16="http://schemas.microsoft.com/office/drawing/2014/main" id="{00000000-0008-0000-0A00-00001A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4855" y="250031"/>
          <a:ext cx="884235" cy="821531"/>
        </a:xfrm>
        <a:prstGeom prst="rect">
          <a:avLst/>
        </a:prstGeom>
      </xdr:spPr>
    </xdr:pic>
    <xdr:clientData/>
  </xdr:twoCellAnchor>
  <xdr:twoCellAnchor>
    <xdr:from>
      <xdr:col>13</xdr:col>
      <xdr:colOff>15874</xdr:colOff>
      <xdr:row>13</xdr:row>
      <xdr:rowOff>99482</xdr:rowOff>
    </xdr:from>
    <xdr:to>
      <xdr:col>15</xdr:col>
      <xdr:colOff>613832</xdr:colOff>
      <xdr:row>13</xdr:row>
      <xdr:rowOff>349249</xdr:rowOff>
    </xdr:to>
    <xdr:sp macro="" textlink="">
      <xdr:nvSpPr>
        <xdr:cNvPr id="27" name="Chevron 26">
          <a:extLst>
            <a:ext uri="{FF2B5EF4-FFF2-40B4-BE49-F238E27FC236}">
              <a16:creationId xmlns:a16="http://schemas.microsoft.com/office/drawing/2014/main" id="{00000000-0008-0000-0A00-00001B000000}"/>
            </a:ext>
          </a:extLst>
        </xdr:cNvPr>
        <xdr:cNvSpPr/>
      </xdr:nvSpPr>
      <xdr:spPr>
        <a:xfrm>
          <a:off x="7864474" y="3318932"/>
          <a:ext cx="1702858" cy="249767"/>
        </a:xfrm>
        <a:prstGeom prst="chevron">
          <a:avLst/>
        </a:prstGeom>
        <a:solidFill>
          <a:schemeClr val="accent6">
            <a:alpha val="5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00" kern="1200">
              <a:solidFill>
                <a:schemeClr val="tx1"/>
              </a:solidFill>
              <a:effectLst/>
              <a:latin typeface="+mn-lt"/>
              <a:ea typeface="+mn-ea"/>
              <a:cs typeface="+mn-cs"/>
            </a:rPr>
            <a:t>Confirmation</a:t>
          </a:r>
          <a:endParaRPr lang="en-US" sz="1000">
            <a:solidFill>
              <a:schemeClr val="tx1"/>
            </a:solidFill>
            <a:effectLst/>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9193C9-EB2A-447A-8704-72B7CD4B2AB4}" name="Table25" displayName="Table25" ref="B5:J11" totalsRowShown="0" headerRowDxfId="54" dataDxfId="53" tableBorderDxfId="52">
  <tableColumns count="9">
    <tableColumn id="9" xr3:uid="{871D8A84-40DA-437D-BD68-2B8B2B8CC141}" name="No." dataDxfId="51"/>
    <tableColumn id="1" xr3:uid="{54F8B7D0-336E-4041-8230-E901D803F6AB}" name="Department/ Business Process" dataDxfId="50"/>
    <tableColumn id="2" xr3:uid="{98CB65DF-1865-4A25-902E-966B89D539B4}" name="Function of the Unit" dataDxfId="49"/>
    <tableColumn id="3" xr3:uid="{CB5EDF68-CB53-4F58-A99A-9060292C7800}" name="Collect" dataDxfId="48"/>
    <tableColumn id="4" xr3:uid="{0C4C263B-107E-4C29-A7AE-12C702116AF6}" name="Use" dataDxfId="47"/>
    <tableColumn id="5" xr3:uid="{E7F7F66B-2DA8-4B6C-ADF1-5E9A5FAF6EC0}" name="Store" dataDxfId="46"/>
    <tableColumn id="6" xr3:uid="{26822488-2D27-482A-B5CE-EA39D423183B}" name="Share" dataDxfId="45"/>
    <tableColumn id="7" xr3:uid="{8335D822-2D5A-4966-A95C-538C5608D1CF}" name="Dispose" dataDxfId="44"/>
    <tableColumn id="8" xr3:uid="{92FA3BED-313A-49CC-BD70-56E784748523}" name="Remarks" dataDxfId="43"/>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196514D-B0BF-4524-BE9C-99C41140B179}" name="Table38" displayName="Table38" ref="B6:E12" totalsRowShown="0" headerRowDxfId="62" headerRowBorderDxfId="61" tableBorderDxfId="60" totalsRowBorderDxfId="59">
  <autoFilter ref="B6:E12" xr:uid="{B196514D-B0BF-4524-BE9C-99C41140B179}"/>
  <tableColumns count="4">
    <tableColumn id="4" xr3:uid="{64F8F915-7D86-4804-AA92-8C1636E7732E}" name="No." dataDxfId="58"/>
    <tableColumn id="1" xr3:uid="{F25DDE30-A659-434C-A786-BCE456558585}" name="Department/ Business Process" dataDxfId="57"/>
    <tableColumn id="2" xr3:uid="{22923840-AEA0-4E8D-A1D4-F41F3CFF313F}" name="Core activity" dataDxfId="56"/>
    <tableColumn id="3" xr3:uid="{EC52D4C5-9806-49E8-A73B-F9C0AC78B323}" name="Personal data processing activity" dataDxfId="55"/>
  </tableColumns>
  <tableStyleInfo name="TableStyleMedium1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B8:N24" totalsRowShown="0" headerRowDxfId="42" dataDxfId="41" tableBorderDxfId="40">
  <autoFilter ref="B8:N24" xr:uid="{00000000-0009-0000-0100-000001000000}"/>
  <tableColumns count="13">
    <tableColumn id="1" xr3:uid="{00000000-0010-0000-0200-000001000000}" name="Ref. No." dataDxfId="39"/>
    <tableColumn id="13" xr3:uid="{00000000-0010-0000-0200-00000D000000}" name="Data Processing System (DPS)" dataDxfId="38"/>
    <tableColumn id="4" xr3:uid="{00000000-0010-0000-0200-000004000000}" name="Description of DPS" dataDxfId="37"/>
    <tableColumn id="5" xr3:uid="{00000000-0010-0000-0200-000005000000}" name="Purpose of Processing" dataDxfId="36"/>
    <tableColumn id="3" xr3:uid="{00000000-0010-0000-0200-000003000000}" name="Department/ Unit" dataDxfId="35"/>
    <tableColumn id="7" xr3:uid="{00000000-0010-0000-0200-000007000000}" name="Name of the Information and Communications System and Other Filing System" dataDxfId="34"/>
    <tableColumn id="14" xr3:uid="{00000000-0010-0000-0200-00000E000000}" name="Data Subject" dataDxfId="33"/>
    <tableColumn id="6" xr3:uid="{00000000-0010-0000-0200-000006000000}" name="PIP" dataDxfId="32"/>
    <tableColumn id="8" xr3:uid="{00000000-0010-0000-0200-000008000000}" name="Outsourced? _x000a_(Yes or No)" dataDxfId="31"/>
    <tableColumn id="9" xr3:uid="{00000000-0010-0000-0200-000009000000}" name="Category of Data Subject" dataDxfId="30"/>
    <tableColumn id="10" xr3:uid="{00000000-0010-0000-0200-00000A000000}" name="Category of Personal Data" dataDxfId="29"/>
    <tableColumn id="11" xr3:uid="{00000000-0010-0000-0200-00000B000000}" name="Category of Recipient" dataDxfId="28"/>
    <tableColumn id="12" xr3:uid="{00000000-0010-0000-0200-00000C000000}" name="Processed Outside the Philippines?" dataDxfId="27"/>
  </tableColumns>
  <tableStyleInfo name="TableStyleLight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printerSettings" Target="../printerSettings/printerSettings9.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4:K74"/>
  <sheetViews>
    <sheetView workbookViewId="0"/>
  </sheetViews>
  <sheetFormatPr defaultColWidth="9.140625" defaultRowHeight="15.75" x14ac:dyDescent="0.25"/>
  <cols>
    <col min="2" max="2" width="40.7109375" style="24" customWidth="1"/>
    <col min="3" max="3" width="65.28515625" style="1" customWidth="1"/>
    <col min="4" max="8" width="14" style="4" customWidth="1"/>
    <col min="9" max="9" width="46.5703125" style="2" customWidth="1"/>
    <col min="10" max="10" width="9.140625" customWidth="1"/>
  </cols>
  <sheetData>
    <row r="4" spans="2:10" s="3" customFormat="1" ht="30" customHeight="1" x14ac:dyDescent="0.25">
      <c r="B4" s="77" t="s">
        <v>16</v>
      </c>
      <c r="C4" s="78" t="s">
        <v>8</v>
      </c>
      <c r="D4" s="79" t="s">
        <v>7</v>
      </c>
      <c r="E4" s="79" t="s">
        <v>1</v>
      </c>
      <c r="F4" s="79" t="s">
        <v>2</v>
      </c>
      <c r="G4" s="79" t="s">
        <v>3</v>
      </c>
      <c r="H4" s="78" t="s">
        <v>4</v>
      </c>
      <c r="I4" s="78" t="s">
        <v>5</v>
      </c>
    </row>
    <row r="5" spans="2:10" x14ac:dyDescent="0.25">
      <c r="B5" s="40" t="s">
        <v>484</v>
      </c>
      <c r="C5" s="42"/>
      <c r="D5" s="46"/>
      <c r="E5" s="46"/>
      <c r="F5" s="46"/>
      <c r="G5" s="46"/>
      <c r="H5" s="46"/>
      <c r="I5" s="42"/>
    </row>
    <row r="6" spans="2:10" s="1" customFormat="1" ht="48" customHeight="1" x14ac:dyDescent="0.25">
      <c r="B6" s="2" t="s">
        <v>395</v>
      </c>
      <c r="C6" s="2" t="s">
        <v>498</v>
      </c>
      <c r="D6" s="4" t="s">
        <v>6</v>
      </c>
      <c r="E6" s="4" t="s">
        <v>6</v>
      </c>
      <c r="F6" s="4" t="s">
        <v>6</v>
      </c>
      <c r="G6" s="4" t="s">
        <v>6</v>
      </c>
      <c r="H6" s="4" t="s">
        <v>235</v>
      </c>
      <c r="I6" s="22" t="s">
        <v>562</v>
      </c>
    </row>
    <row r="7" spans="2:10" s="1" customFormat="1" ht="48" customHeight="1" x14ac:dyDescent="0.25">
      <c r="B7" s="2" t="s">
        <v>593</v>
      </c>
      <c r="C7" s="2" t="s">
        <v>594</v>
      </c>
      <c r="D7" s="4" t="s">
        <v>235</v>
      </c>
      <c r="E7" s="4" t="s">
        <v>235</v>
      </c>
      <c r="F7" s="4" t="s">
        <v>235</v>
      </c>
      <c r="G7" s="4" t="s">
        <v>235</v>
      </c>
      <c r="H7" s="4" t="s">
        <v>235</v>
      </c>
      <c r="I7" s="22" t="s">
        <v>561</v>
      </c>
    </row>
    <row r="8" spans="2:10" s="1" customFormat="1" ht="48" customHeight="1" x14ac:dyDescent="0.25">
      <c r="B8" s="2" t="s">
        <v>595</v>
      </c>
      <c r="C8" s="2" t="s">
        <v>596</v>
      </c>
      <c r="D8" s="4" t="s">
        <v>235</v>
      </c>
      <c r="E8" s="4" t="s">
        <v>235</v>
      </c>
      <c r="F8" s="4" t="s">
        <v>235</v>
      </c>
      <c r="G8" s="4" t="s">
        <v>235</v>
      </c>
      <c r="H8" s="4" t="s">
        <v>235</v>
      </c>
      <c r="I8" s="22" t="s">
        <v>561</v>
      </c>
    </row>
    <row r="9" spans="2:10" ht="15.75" customHeight="1" x14ac:dyDescent="0.25">
      <c r="B9" s="40" t="s">
        <v>485</v>
      </c>
      <c r="C9" s="42"/>
      <c r="D9" s="46"/>
      <c r="E9" s="46"/>
      <c r="F9" s="46"/>
      <c r="G9" s="46"/>
      <c r="H9" s="46"/>
      <c r="I9" s="42"/>
      <c r="J9" s="1"/>
    </row>
    <row r="10" spans="2:10" s="1" customFormat="1" ht="48" customHeight="1" x14ac:dyDescent="0.25">
      <c r="B10" s="2" t="s">
        <v>575</v>
      </c>
      <c r="C10" s="2" t="s">
        <v>499</v>
      </c>
      <c r="D10" s="4" t="s">
        <v>6</v>
      </c>
      <c r="E10" s="4" t="s">
        <v>6</v>
      </c>
      <c r="F10" s="4" t="s">
        <v>6</v>
      </c>
      <c r="G10" s="4" t="s">
        <v>235</v>
      </c>
      <c r="H10" s="4" t="s">
        <v>235</v>
      </c>
      <c r="I10" s="22"/>
    </row>
    <row r="11" spans="2:10" s="1" customFormat="1" ht="48" customHeight="1" x14ac:dyDescent="0.25">
      <c r="B11" s="2" t="s">
        <v>576</v>
      </c>
      <c r="C11" s="2" t="s">
        <v>500</v>
      </c>
      <c r="D11" s="4" t="s">
        <v>6</v>
      </c>
      <c r="E11" s="4" t="s">
        <v>6</v>
      </c>
      <c r="F11" s="4" t="s">
        <v>6</v>
      </c>
      <c r="G11" s="4" t="s">
        <v>235</v>
      </c>
      <c r="H11" s="4" t="s">
        <v>235</v>
      </c>
      <c r="I11" s="22"/>
    </row>
    <row r="12" spans="2:10" s="1" customFormat="1" ht="48" customHeight="1" x14ac:dyDescent="0.25">
      <c r="B12" s="2" t="s">
        <v>397</v>
      </c>
      <c r="C12" s="2" t="s">
        <v>497</v>
      </c>
      <c r="D12" s="4" t="s">
        <v>6</v>
      </c>
      <c r="E12" s="4" t="s">
        <v>6</v>
      </c>
      <c r="F12" s="4" t="s">
        <v>6</v>
      </c>
      <c r="G12" s="4" t="s">
        <v>6</v>
      </c>
      <c r="H12" s="4" t="s">
        <v>235</v>
      </c>
      <c r="I12" s="22"/>
    </row>
    <row r="13" spans="2:10" s="1" customFormat="1" ht="48" customHeight="1" x14ac:dyDescent="0.25">
      <c r="B13" s="2" t="s">
        <v>577</v>
      </c>
      <c r="C13" s="2" t="s">
        <v>501</v>
      </c>
      <c r="D13" s="4" t="s">
        <v>235</v>
      </c>
      <c r="E13" s="4" t="s">
        <v>235</v>
      </c>
      <c r="F13" s="4" t="s">
        <v>235</v>
      </c>
      <c r="G13" s="4" t="s">
        <v>235</v>
      </c>
      <c r="H13" s="4" t="s">
        <v>235</v>
      </c>
      <c r="I13" s="22" t="s">
        <v>561</v>
      </c>
    </row>
    <row r="14" spans="2:10" s="1" customFormat="1" ht="48" customHeight="1" x14ac:dyDescent="0.25">
      <c r="B14" s="2" t="s">
        <v>348</v>
      </c>
      <c r="C14" s="2" t="s">
        <v>502</v>
      </c>
      <c r="D14" s="4" t="s">
        <v>6</v>
      </c>
      <c r="E14" s="4" t="s">
        <v>6</v>
      </c>
      <c r="F14" s="4" t="s">
        <v>6</v>
      </c>
      <c r="G14" s="4" t="s">
        <v>6</v>
      </c>
      <c r="H14" s="4" t="s">
        <v>235</v>
      </c>
      <c r="I14" s="22"/>
    </row>
    <row r="15" spans="2:10" ht="15" x14ac:dyDescent="0.25">
      <c r="B15" s="40" t="s">
        <v>486</v>
      </c>
      <c r="C15" s="42"/>
      <c r="D15" s="42"/>
      <c r="E15" s="42"/>
      <c r="F15" s="42"/>
      <c r="G15" s="42"/>
      <c r="H15" s="42"/>
      <c r="I15" s="42"/>
      <c r="J15" s="1"/>
    </row>
    <row r="16" spans="2:10" s="1" customFormat="1" ht="48" customHeight="1" x14ac:dyDescent="0.25">
      <c r="B16" s="2" t="s">
        <v>400</v>
      </c>
      <c r="C16" s="2" t="s">
        <v>538</v>
      </c>
      <c r="D16" s="4" t="s">
        <v>6</v>
      </c>
      <c r="E16" s="4" t="s">
        <v>6</v>
      </c>
      <c r="F16" s="4" t="s">
        <v>6</v>
      </c>
      <c r="G16" s="4" t="s">
        <v>235</v>
      </c>
      <c r="H16" s="4" t="s">
        <v>235</v>
      </c>
      <c r="I16" s="22"/>
    </row>
    <row r="17" spans="1:10" s="1" customFormat="1" ht="48" customHeight="1" x14ac:dyDescent="0.25">
      <c r="B17" s="2" t="s">
        <v>571</v>
      </c>
      <c r="C17" s="2" t="s">
        <v>539</v>
      </c>
      <c r="D17" s="4" t="s">
        <v>6</v>
      </c>
      <c r="E17" s="4" t="s">
        <v>6</v>
      </c>
      <c r="F17" s="4" t="s">
        <v>6</v>
      </c>
      <c r="G17" s="4" t="s">
        <v>235</v>
      </c>
      <c r="H17" s="4" t="s">
        <v>235</v>
      </c>
      <c r="I17" s="22"/>
    </row>
    <row r="18" spans="1:10" s="1" customFormat="1" ht="48" customHeight="1" x14ac:dyDescent="0.25">
      <c r="B18" s="2" t="s">
        <v>398</v>
      </c>
      <c r="C18" s="2" t="s">
        <v>540</v>
      </c>
      <c r="D18" s="4" t="s">
        <v>6</v>
      </c>
      <c r="E18" s="4" t="s">
        <v>6</v>
      </c>
      <c r="F18" s="4" t="s">
        <v>6</v>
      </c>
      <c r="G18" s="4" t="s">
        <v>235</v>
      </c>
      <c r="H18" s="4" t="s">
        <v>235</v>
      </c>
      <c r="I18" s="22"/>
    </row>
    <row r="19" spans="1:10" s="1" customFormat="1" ht="48" customHeight="1" x14ac:dyDescent="0.25">
      <c r="B19" s="2" t="s">
        <v>399</v>
      </c>
      <c r="C19" s="2" t="s">
        <v>541</v>
      </c>
      <c r="D19" s="4" t="s">
        <v>6</v>
      </c>
      <c r="E19" s="4" t="s">
        <v>6</v>
      </c>
      <c r="F19" s="4" t="s">
        <v>6</v>
      </c>
      <c r="G19" s="4" t="s">
        <v>235</v>
      </c>
      <c r="H19" s="4" t="s">
        <v>235</v>
      </c>
      <c r="I19" s="22"/>
    </row>
    <row r="20" spans="1:10" s="1" customFormat="1" ht="48" customHeight="1" x14ac:dyDescent="0.25">
      <c r="B20" s="2" t="s">
        <v>431</v>
      </c>
      <c r="C20" s="2" t="s">
        <v>542</v>
      </c>
      <c r="D20" s="4" t="s">
        <v>235</v>
      </c>
      <c r="E20" s="4" t="s">
        <v>235</v>
      </c>
      <c r="F20" s="4" t="s">
        <v>235</v>
      </c>
      <c r="G20" s="4" t="s">
        <v>235</v>
      </c>
      <c r="H20" s="4" t="s">
        <v>235</v>
      </c>
      <c r="I20" s="22" t="s">
        <v>561</v>
      </c>
    </row>
    <row r="21" spans="1:10" s="1" customFormat="1" ht="48" customHeight="1" x14ac:dyDescent="0.25">
      <c r="B21" s="2" t="s">
        <v>525</v>
      </c>
      <c r="C21" s="2" t="s">
        <v>543</v>
      </c>
      <c r="D21" s="4" t="s">
        <v>235</v>
      </c>
      <c r="E21" s="4" t="s">
        <v>235</v>
      </c>
      <c r="F21" s="4" t="s">
        <v>235</v>
      </c>
      <c r="G21" s="4" t="s">
        <v>235</v>
      </c>
      <c r="H21" s="4" t="s">
        <v>235</v>
      </c>
      <c r="I21" s="22" t="s">
        <v>561</v>
      </c>
    </row>
    <row r="22" spans="1:10" ht="15" x14ac:dyDescent="0.25">
      <c r="B22" s="40" t="s">
        <v>15</v>
      </c>
      <c r="C22" s="42"/>
      <c r="D22" s="42"/>
      <c r="E22" s="42"/>
      <c r="F22" s="42"/>
      <c r="G22" s="42"/>
      <c r="H22" s="42"/>
      <c r="I22" s="42"/>
      <c r="J22" s="1"/>
    </row>
    <row r="23" spans="1:10" s="1" customFormat="1" ht="48" customHeight="1" x14ac:dyDescent="0.25">
      <c r="A23" s="21"/>
      <c r="B23" s="2" t="s">
        <v>396</v>
      </c>
      <c r="C23" s="2" t="s">
        <v>544</v>
      </c>
      <c r="D23" s="4" t="s">
        <v>6</v>
      </c>
      <c r="E23" s="4" t="s">
        <v>6</v>
      </c>
      <c r="F23" s="4" t="s">
        <v>6</v>
      </c>
      <c r="G23" s="4" t="s">
        <v>235</v>
      </c>
      <c r="H23" s="4" t="s">
        <v>235</v>
      </c>
      <c r="I23" s="22"/>
    </row>
    <row r="24" spans="1:10" s="1" customFormat="1" ht="48" customHeight="1" x14ac:dyDescent="0.25">
      <c r="B24" s="2" t="s">
        <v>590</v>
      </c>
      <c r="C24" s="2" t="s">
        <v>519</v>
      </c>
      <c r="D24" s="4" t="s">
        <v>6</v>
      </c>
      <c r="E24" s="4" t="s">
        <v>6</v>
      </c>
      <c r="F24" s="4" t="s">
        <v>6</v>
      </c>
      <c r="G24" s="4" t="s">
        <v>235</v>
      </c>
      <c r="H24" s="4" t="s">
        <v>235</v>
      </c>
      <c r="I24" s="22"/>
    </row>
    <row r="25" spans="1:10" s="1" customFormat="1" ht="48" customHeight="1" x14ac:dyDescent="0.25">
      <c r="A25" s="21"/>
      <c r="B25" s="2" t="s">
        <v>578</v>
      </c>
      <c r="C25" s="2" t="s">
        <v>503</v>
      </c>
      <c r="D25" s="4" t="s">
        <v>235</v>
      </c>
      <c r="E25" s="4" t="s">
        <v>235</v>
      </c>
      <c r="F25" s="4" t="s">
        <v>235</v>
      </c>
      <c r="G25" s="4" t="s">
        <v>235</v>
      </c>
      <c r="H25" s="4" t="s">
        <v>235</v>
      </c>
      <c r="I25" s="22" t="s">
        <v>561</v>
      </c>
    </row>
    <row r="26" spans="1:10" s="1" customFormat="1" ht="48" customHeight="1" x14ac:dyDescent="0.25">
      <c r="B26" s="2" t="s">
        <v>588</v>
      </c>
      <c r="C26" s="2" t="s">
        <v>572</v>
      </c>
      <c r="D26" s="4" t="s">
        <v>6</v>
      </c>
      <c r="E26" s="4" t="s">
        <v>6</v>
      </c>
      <c r="F26" s="4" t="s">
        <v>6</v>
      </c>
      <c r="G26" s="4" t="s">
        <v>235</v>
      </c>
      <c r="H26" s="4" t="s">
        <v>235</v>
      </c>
      <c r="I26" s="22"/>
    </row>
    <row r="27" spans="1:10" ht="15" x14ac:dyDescent="0.25">
      <c r="B27" s="40" t="s">
        <v>496</v>
      </c>
      <c r="C27" s="42"/>
      <c r="D27" s="42"/>
      <c r="E27" s="42"/>
      <c r="F27" s="42"/>
      <c r="G27" s="42"/>
      <c r="H27" s="42"/>
      <c r="I27" s="42"/>
      <c r="J27" s="1"/>
    </row>
    <row r="28" spans="1:10" s="1" customFormat="1" ht="48" customHeight="1" x14ac:dyDescent="0.25">
      <c r="B28" s="2" t="s">
        <v>597</v>
      </c>
      <c r="C28" s="2" t="s">
        <v>603</v>
      </c>
      <c r="D28" s="4" t="s">
        <v>235</v>
      </c>
      <c r="E28" s="4" t="s">
        <v>235</v>
      </c>
      <c r="F28" s="4" t="s">
        <v>235</v>
      </c>
      <c r="G28" s="4" t="s">
        <v>235</v>
      </c>
      <c r="H28" s="4" t="s">
        <v>235</v>
      </c>
      <c r="I28" s="22" t="s">
        <v>561</v>
      </c>
    </row>
    <row r="29" spans="1:10" s="1" customFormat="1" ht="48" customHeight="1" x14ac:dyDescent="0.25">
      <c r="B29" s="80" t="s">
        <v>579</v>
      </c>
      <c r="C29" s="2" t="s">
        <v>564</v>
      </c>
      <c r="D29" s="4" t="s">
        <v>235</v>
      </c>
      <c r="E29" s="4" t="s">
        <v>235</v>
      </c>
      <c r="F29" s="4" t="s">
        <v>235</v>
      </c>
      <c r="G29" s="4" t="s">
        <v>235</v>
      </c>
      <c r="H29" s="4" t="s">
        <v>235</v>
      </c>
      <c r="I29" s="22" t="s">
        <v>561</v>
      </c>
    </row>
    <row r="30" spans="1:10" s="1" customFormat="1" ht="48" customHeight="1" x14ac:dyDescent="0.25">
      <c r="B30" s="2" t="s">
        <v>598</v>
      </c>
      <c r="C30" s="2" t="s">
        <v>566</v>
      </c>
      <c r="D30" s="4" t="s">
        <v>235</v>
      </c>
      <c r="E30" s="4" t="s">
        <v>235</v>
      </c>
      <c r="F30" s="4" t="s">
        <v>235</v>
      </c>
      <c r="G30" s="4" t="s">
        <v>235</v>
      </c>
      <c r="H30" s="4" t="s">
        <v>235</v>
      </c>
      <c r="I30" s="22" t="s">
        <v>561</v>
      </c>
    </row>
    <row r="31" spans="1:10" s="1" customFormat="1" ht="48" customHeight="1" x14ac:dyDescent="0.25">
      <c r="B31" s="80" t="s">
        <v>580</v>
      </c>
      <c r="C31" s="2" t="s">
        <v>599</v>
      </c>
      <c r="D31" s="4" t="s">
        <v>235</v>
      </c>
      <c r="E31" s="4" t="s">
        <v>235</v>
      </c>
      <c r="F31" s="4" t="s">
        <v>235</v>
      </c>
      <c r="G31" s="4" t="s">
        <v>235</v>
      </c>
      <c r="H31" s="4" t="s">
        <v>235</v>
      </c>
      <c r="I31" s="22" t="s">
        <v>561</v>
      </c>
    </row>
    <row r="32" spans="1:10" s="1" customFormat="1" ht="48" customHeight="1" x14ac:dyDescent="0.25">
      <c r="B32" s="80" t="s">
        <v>581</v>
      </c>
      <c r="C32" s="2" t="s">
        <v>568</v>
      </c>
      <c r="D32" s="4" t="s">
        <v>235</v>
      </c>
      <c r="E32" s="4" t="s">
        <v>235</v>
      </c>
      <c r="F32" s="4" t="s">
        <v>235</v>
      </c>
      <c r="G32" s="4" t="s">
        <v>235</v>
      </c>
      <c r="H32" s="4" t="s">
        <v>235</v>
      </c>
      <c r="I32" s="22" t="s">
        <v>561</v>
      </c>
    </row>
    <row r="33" spans="1:10" s="1" customFormat="1" ht="48" customHeight="1" x14ac:dyDescent="0.25">
      <c r="B33" s="80" t="s">
        <v>600</v>
      </c>
      <c r="C33" s="2" t="s">
        <v>565</v>
      </c>
      <c r="D33" s="4" t="s">
        <v>235</v>
      </c>
      <c r="E33" s="4" t="s">
        <v>235</v>
      </c>
      <c r="F33" s="4" t="s">
        <v>235</v>
      </c>
      <c r="G33" s="4" t="s">
        <v>235</v>
      </c>
      <c r="H33" s="4" t="s">
        <v>235</v>
      </c>
      <c r="I33" s="22" t="s">
        <v>561</v>
      </c>
    </row>
    <row r="34" spans="1:10" ht="15" x14ac:dyDescent="0.25">
      <c r="B34" s="40" t="s">
        <v>487</v>
      </c>
      <c r="C34" s="42"/>
      <c r="D34" s="42"/>
      <c r="E34" s="42"/>
      <c r="F34" s="42"/>
      <c r="G34" s="42"/>
      <c r="H34" s="42"/>
      <c r="I34" s="42"/>
      <c r="J34" s="1"/>
    </row>
    <row r="35" spans="1:10" s="1" customFormat="1" ht="48" customHeight="1" x14ac:dyDescent="0.25">
      <c r="A35" s="21"/>
      <c r="B35" s="2" t="s">
        <v>394</v>
      </c>
      <c r="C35" s="2" t="s">
        <v>592</v>
      </c>
      <c r="D35" s="4" t="s">
        <v>6</v>
      </c>
      <c r="E35" s="4" t="s">
        <v>6</v>
      </c>
      <c r="F35" s="4" t="s">
        <v>6</v>
      </c>
      <c r="G35" s="4" t="s">
        <v>235</v>
      </c>
      <c r="H35" s="4" t="s">
        <v>235</v>
      </c>
      <c r="I35" s="22"/>
    </row>
    <row r="36" spans="1:10" s="1" customFormat="1" ht="48" customHeight="1" x14ac:dyDescent="0.25">
      <c r="B36" s="2" t="s">
        <v>401</v>
      </c>
      <c r="C36" s="2" t="s">
        <v>505</v>
      </c>
      <c r="D36" s="4" t="s">
        <v>6</v>
      </c>
      <c r="E36" s="4" t="s">
        <v>6</v>
      </c>
      <c r="F36" s="4" t="s">
        <v>6</v>
      </c>
      <c r="G36" s="4" t="s">
        <v>235</v>
      </c>
      <c r="H36" s="4" t="s">
        <v>235</v>
      </c>
      <c r="I36" s="22"/>
    </row>
    <row r="37" spans="1:10" s="1" customFormat="1" ht="48" customHeight="1" x14ac:dyDescent="0.25">
      <c r="B37" s="2" t="s">
        <v>402</v>
      </c>
      <c r="C37" s="2" t="s">
        <v>506</v>
      </c>
      <c r="D37" s="4" t="s">
        <v>6</v>
      </c>
      <c r="E37" s="4" t="s">
        <v>6</v>
      </c>
      <c r="F37" s="4" t="s">
        <v>6</v>
      </c>
      <c r="G37" s="4" t="s">
        <v>235</v>
      </c>
      <c r="H37" s="4" t="s">
        <v>235</v>
      </c>
      <c r="I37" s="22"/>
    </row>
    <row r="38" spans="1:10" s="1" customFormat="1" ht="48" customHeight="1" x14ac:dyDescent="0.25">
      <c r="B38" s="2" t="s">
        <v>306</v>
      </c>
      <c r="C38" s="2" t="s">
        <v>507</v>
      </c>
      <c r="D38" s="4" t="s">
        <v>6</v>
      </c>
      <c r="E38" s="4" t="s">
        <v>6</v>
      </c>
      <c r="F38" s="4" t="s">
        <v>6</v>
      </c>
      <c r="G38" s="4" t="s">
        <v>235</v>
      </c>
      <c r="H38" s="4" t="s">
        <v>235</v>
      </c>
      <c r="I38" s="22"/>
    </row>
    <row r="39" spans="1:10" s="1" customFormat="1" ht="48" customHeight="1" x14ac:dyDescent="0.25">
      <c r="B39" s="2" t="s">
        <v>309</v>
      </c>
      <c r="C39" s="2" t="s">
        <v>508</v>
      </c>
      <c r="D39" s="4" t="s">
        <v>6</v>
      </c>
      <c r="E39" s="4" t="s">
        <v>6</v>
      </c>
      <c r="F39" s="4" t="s">
        <v>6</v>
      </c>
      <c r="G39" s="4" t="s">
        <v>235</v>
      </c>
      <c r="H39" s="4" t="s">
        <v>235</v>
      </c>
      <c r="I39" s="22"/>
    </row>
    <row r="40" spans="1:10" s="1" customFormat="1" ht="48" customHeight="1" x14ac:dyDescent="0.25">
      <c r="B40" s="2" t="s">
        <v>307</v>
      </c>
      <c r="C40" s="2" t="s">
        <v>509</v>
      </c>
      <c r="D40" s="4" t="s">
        <v>6</v>
      </c>
      <c r="E40" s="4" t="s">
        <v>6</v>
      </c>
      <c r="F40" s="4" t="s">
        <v>6</v>
      </c>
      <c r="G40" s="4" t="s">
        <v>235</v>
      </c>
      <c r="H40" s="4" t="s">
        <v>235</v>
      </c>
      <c r="I40" s="22"/>
    </row>
    <row r="41" spans="1:10" ht="15" x14ac:dyDescent="0.25">
      <c r="B41" s="40" t="s">
        <v>488</v>
      </c>
      <c r="C41" s="42"/>
      <c r="D41" s="42"/>
      <c r="E41" s="42"/>
      <c r="F41" s="42"/>
      <c r="G41" s="42"/>
      <c r="H41" s="42"/>
      <c r="I41" s="42"/>
      <c r="J41" s="1"/>
    </row>
    <row r="42" spans="1:10" s="1" customFormat="1" ht="48" customHeight="1" x14ac:dyDescent="0.25">
      <c r="B42" s="2" t="s">
        <v>403</v>
      </c>
      <c r="C42" s="2" t="s">
        <v>504</v>
      </c>
      <c r="D42" s="4" t="s">
        <v>6</v>
      </c>
      <c r="E42" s="4" t="s">
        <v>6</v>
      </c>
      <c r="F42" s="4" t="s">
        <v>6</v>
      </c>
      <c r="G42" s="4" t="s">
        <v>235</v>
      </c>
      <c r="H42" s="4" t="s">
        <v>235</v>
      </c>
      <c r="I42" s="22"/>
    </row>
    <row r="43" spans="1:10" s="1" customFormat="1" ht="48" customHeight="1" x14ac:dyDescent="0.25">
      <c r="A43" s="21"/>
      <c r="B43" s="2" t="s">
        <v>582</v>
      </c>
      <c r="C43" s="2" t="s">
        <v>510</v>
      </c>
      <c r="D43" s="4" t="s">
        <v>6</v>
      </c>
      <c r="E43" s="4" t="s">
        <v>6</v>
      </c>
      <c r="F43" s="4" t="s">
        <v>6</v>
      </c>
      <c r="G43" s="4" t="s">
        <v>235</v>
      </c>
      <c r="H43" s="4" t="s">
        <v>235</v>
      </c>
      <c r="I43" s="22"/>
    </row>
    <row r="44" spans="1:10" ht="15" x14ac:dyDescent="0.25">
      <c r="B44" s="40" t="s">
        <v>489</v>
      </c>
      <c r="C44" s="42"/>
      <c r="D44" s="42"/>
      <c r="E44" s="42"/>
      <c r="F44" s="42"/>
      <c r="G44" s="42"/>
      <c r="H44" s="42"/>
      <c r="I44" s="42"/>
      <c r="J44" s="1"/>
    </row>
    <row r="45" spans="1:10" s="1" customFormat="1" ht="48" customHeight="1" x14ac:dyDescent="0.25">
      <c r="B45" s="2" t="s">
        <v>386</v>
      </c>
      <c r="C45" s="2" t="s">
        <v>513</v>
      </c>
      <c r="D45" s="4" t="s">
        <v>6</v>
      </c>
      <c r="E45" s="4" t="s">
        <v>6</v>
      </c>
      <c r="F45" s="4" t="s">
        <v>6</v>
      </c>
      <c r="G45" s="4" t="s">
        <v>235</v>
      </c>
      <c r="H45" s="4" t="s">
        <v>235</v>
      </c>
      <c r="I45" s="22"/>
    </row>
    <row r="46" spans="1:10" s="1" customFormat="1" ht="48" customHeight="1" x14ac:dyDescent="0.25">
      <c r="B46" s="2" t="s">
        <v>404</v>
      </c>
      <c r="C46" s="2" t="s">
        <v>477</v>
      </c>
      <c r="D46" s="4" t="s">
        <v>6</v>
      </c>
      <c r="E46" s="4" t="s">
        <v>6</v>
      </c>
      <c r="F46" s="4" t="s">
        <v>6</v>
      </c>
      <c r="G46" s="4" t="s">
        <v>235</v>
      </c>
      <c r="H46" s="4" t="s">
        <v>235</v>
      </c>
      <c r="I46" s="22"/>
    </row>
    <row r="47" spans="1:10" s="1" customFormat="1" ht="48" customHeight="1" x14ac:dyDescent="0.25">
      <c r="B47" s="2" t="s">
        <v>34</v>
      </c>
      <c r="C47" s="2" t="s">
        <v>512</v>
      </c>
      <c r="D47" s="4" t="s">
        <v>6</v>
      </c>
      <c r="E47" s="4" t="s">
        <v>6</v>
      </c>
      <c r="F47" s="4" t="s">
        <v>6</v>
      </c>
      <c r="G47" s="4" t="s">
        <v>235</v>
      </c>
      <c r="H47" s="4" t="s">
        <v>235</v>
      </c>
      <c r="I47" s="22"/>
    </row>
    <row r="48" spans="1:10" s="1" customFormat="1" ht="48" customHeight="1" x14ac:dyDescent="0.25">
      <c r="B48" s="2" t="s">
        <v>511</v>
      </c>
      <c r="C48" s="2" t="s">
        <v>514</v>
      </c>
      <c r="D48" s="4" t="s">
        <v>235</v>
      </c>
      <c r="E48" s="4" t="s">
        <v>235</v>
      </c>
      <c r="F48" s="4" t="s">
        <v>235</v>
      </c>
      <c r="G48" s="4" t="s">
        <v>235</v>
      </c>
      <c r="H48" s="4" t="s">
        <v>235</v>
      </c>
      <c r="I48" s="22" t="s">
        <v>561</v>
      </c>
    </row>
    <row r="49" spans="1:11" ht="15" x14ac:dyDescent="0.25">
      <c r="B49" s="40" t="s">
        <v>490</v>
      </c>
      <c r="C49" s="40"/>
      <c r="D49" s="40"/>
      <c r="E49" s="40"/>
      <c r="F49" s="40"/>
      <c r="G49" s="40"/>
      <c r="H49" s="40"/>
      <c r="I49" s="40"/>
      <c r="J49" s="1"/>
    </row>
    <row r="50" spans="1:11" s="1" customFormat="1" ht="48" customHeight="1" x14ac:dyDescent="0.25">
      <c r="A50" s="21"/>
      <c r="B50" s="2" t="s">
        <v>405</v>
      </c>
      <c r="C50" s="2" t="s">
        <v>515</v>
      </c>
      <c r="D50" s="4" t="s">
        <v>6</v>
      </c>
      <c r="E50" s="4" t="s">
        <v>6</v>
      </c>
      <c r="F50" s="4" t="s">
        <v>6</v>
      </c>
      <c r="G50" s="4" t="s">
        <v>235</v>
      </c>
      <c r="H50" s="4" t="s">
        <v>235</v>
      </c>
      <c r="I50" s="8"/>
    </row>
    <row r="51" spans="1:11" ht="15" x14ac:dyDescent="0.25">
      <c r="B51" s="40" t="s">
        <v>491</v>
      </c>
      <c r="C51" s="40"/>
      <c r="D51" s="40"/>
      <c r="E51" s="40"/>
      <c r="F51" s="40"/>
      <c r="G51" s="40"/>
      <c r="H51" s="40"/>
      <c r="I51" s="40"/>
      <c r="J51" s="1"/>
    </row>
    <row r="52" spans="1:11" ht="48" customHeight="1" x14ac:dyDescent="0.25">
      <c r="B52" s="2" t="s">
        <v>406</v>
      </c>
      <c r="C52" s="2" t="s">
        <v>516</v>
      </c>
      <c r="D52" s="4" t="s">
        <v>6</v>
      </c>
      <c r="E52" s="4" t="s">
        <v>6</v>
      </c>
      <c r="F52" s="4" t="s">
        <v>6</v>
      </c>
      <c r="G52" s="4" t="s">
        <v>235</v>
      </c>
      <c r="H52" s="4" t="s">
        <v>235</v>
      </c>
      <c r="I52" s="22"/>
      <c r="J52" s="1"/>
      <c r="K52" s="1"/>
    </row>
    <row r="53" spans="1:11" s="1" customFormat="1" ht="48" customHeight="1" x14ac:dyDescent="0.25">
      <c r="B53" s="2" t="s">
        <v>407</v>
      </c>
      <c r="C53" s="2" t="s">
        <v>517</v>
      </c>
      <c r="D53" s="4" t="s">
        <v>6</v>
      </c>
      <c r="E53" s="4" t="s">
        <v>6</v>
      </c>
      <c r="F53" s="4" t="s">
        <v>6</v>
      </c>
      <c r="G53" s="4" t="s">
        <v>235</v>
      </c>
      <c r="H53" s="4" t="s">
        <v>235</v>
      </c>
      <c r="I53" s="2"/>
    </row>
    <row r="54" spans="1:11" s="1" customFormat="1" ht="48" customHeight="1" x14ac:dyDescent="0.25">
      <c r="B54" s="2" t="s">
        <v>583</v>
      </c>
      <c r="C54" s="2" t="s">
        <v>413</v>
      </c>
      <c r="D54" s="4" t="s">
        <v>6</v>
      </c>
      <c r="E54" s="4" t="s">
        <v>6</v>
      </c>
      <c r="F54" s="4" t="s">
        <v>6</v>
      </c>
      <c r="G54" s="4" t="s">
        <v>235</v>
      </c>
      <c r="H54" s="4" t="s">
        <v>235</v>
      </c>
      <c r="I54" s="2"/>
    </row>
    <row r="55" spans="1:11" s="1" customFormat="1" ht="48" customHeight="1" x14ac:dyDescent="0.25">
      <c r="B55" s="2" t="s">
        <v>584</v>
      </c>
      <c r="C55" s="2" t="s">
        <v>414</v>
      </c>
      <c r="D55" s="4" t="s">
        <v>6</v>
      </c>
      <c r="E55" s="4" t="s">
        <v>6</v>
      </c>
      <c r="F55" s="4" t="s">
        <v>6</v>
      </c>
      <c r="G55" s="4" t="s">
        <v>235</v>
      </c>
      <c r="H55" s="4" t="s">
        <v>235</v>
      </c>
      <c r="I55" s="2"/>
    </row>
    <row r="56" spans="1:11" ht="15" x14ac:dyDescent="0.25">
      <c r="B56" s="40" t="s">
        <v>492</v>
      </c>
      <c r="C56" s="40"/>
      <c r="D56" s="40"/>
      <c r="E56" s="40"/>
      <c r="F56" s="40"/>
      <c r="G56" s="40"/>
      <c r="H56" s="40"/>
      <c r="I56" s="40"/>
      <c r="J56" s="1"/>
    </row>
    <row r="57" spans="1:11" s="1" customFormat="1" ht="48" customHeight="1" x14ac:dyDescent="0.25">
      <c r="B57" s="2" t="s">
        <v>589</v>
      </c>
      <c r="C57" s="2" t="s">
        <v>518</v>
      </c>
      <c r="D57" s="4" t="s">
        <v>6</v>
      </c>
      <c r="E57" s="4" t="s">
        <v>6</v>
      </c>
      <c r="F57" s="4" t="s">
        <v>6</v>
      </c>
      <c r="G57" s="4" t="s">
        <v>235</v>
      </c>
      <c r="H57" s="4" t="s">
        <v>235</v>
      </c>
      <c r="I57" s="2"/>
    </row>
    <row r="58" spans="1:11" s="1" customFormat="1" ht="48" customHeight="1" x14ac:dyDescent="0.25">
      <c r="B58" s="2" t="s">
        <v>591</v>
      </c>
      <c r="C58" s="2" t="s">
        <v>520</v>
      </c>
      <c r="D58" s="4" t="s">
        <v>6</v>
      </c>
      <c r="E58" s="4" t="s">
        <v>6</v>
      </c>
      <c r="F58" s="4" t="s">
        <v>6</v>
      </c>
      <c r="G58" s="4" t="s">
        <v>235</v>
      </c>
      <c r="H58" s="4" t="s">
        <v>235</v>
      </c>
      <c r="I58" s="2"/>
    </row>
    <row r="59" spans="1:11" s="1" customFormat="1" ht="48" customHeight="1" x14ac:dyDescent="0.25">
      <c r="B59" s="2" t="s">
        <v>573</v>
      </c>
      <c r="C59" s="1" t="s">
        <v>521</v>
      </c>
      <c r="D59" s="4" t="s">
        <v>6</v>
      </c>
      <c r="E59" s="4" t="s">
        <v>6</v>
      </c>
      <c r="F59" s="4" t="s">
        <v>6</v>
      </c>
      <c r="G59" s="4" t="s">
        <v>235</v>
      </c>
      <c r="H59" s="4" t="s">
        <v>235</v>
      </c>
      <c r="I59" s="2"/>
    </row>
    <row r="60" spans="1:11" s="1" customFormat="1" ht="48" customHeight="1" x14ac:dyDescent="0.25">
      <c r="B60" s="2" t="s">
        <v>585</v>
      </c>
      <c r="C60" s="1" t="s">
        <v>522</v>
      </c>
      <c r="D60" s="4" t="s">
        <v>6</v>
      </c>
      <c r="E60" s="4" t="s">
        <v>6</v>
      </c>
      <c r="F60" s="4" t="s">
        <v>6</v>
      </c>
      <c r="G60" s="4" t="s">
        <v>235</v>
      </c>
      <c r="H60" s="4" t="s">
        <v>235</v>
      </c>
      <c r="I60" s="2"/>
    </row>
    <row r="61" spans="1:11" s="1" customFormat="1" ht="48" customHeight="1" x14ac:dyDescent="0.25">
      <c r="B61" s="2" t="s">
        <v>586</v>
      </c>
      <c r="C61" s="1" t="s">
        <v>523</v>
      </c>
      <c r="D61" s="4" t="s">
        <v>6</v>
      </c>
      <c r="E61" s="4" t="s">
        <v>6</v>
      </c>
      <c r="F61" s="4" t="s">
        <v>6</v>
      </c>
      <c r="G61" s="4" t="s">
        <v>235</v>
      </c>
      <c r="H61" s="4" t="s">
        <v>235</v>
      </c>
      <c r="I61" s="2"/>
    </row>
    <row r="62" spans="1:11" s="1" customFormat="1" ht="48" customHeight="1" x14ac:dyDescent="0.25">
      <c r="B62" s="2" t="s">
        <v>524</v>
      </c>
      <c r="C62" s="2" t="s">
        <v>528</v>
      </c>
      <c r="D62" s="4" t="s">
        <v>6</v>
      </c>
      <c r="E62" s="4" t="s">
        <v>6</v>
      </c>
      <c r="F62" s="4" t="s">
        <v>6</v>
      </c>
      <c r="G62" s="4" t="s">
        <v>235</v>
      </c>
      <c r="H62" s="4" t="s">
        <v>235</v>
      </c>
      <c r="I62" s="2"/>
    </row>
    <row r="63" spans="1:11" ht="15" x14ac:dyDescent="0.25">
      <c r="B63" s="40" t="s">
        <v>493</v>
      </c>
      <c r="C63" s="40"/>
      <c r="D63" s="40"/>
      <c r="E63" s="40"/>
      <c r="F63" s="40"/>
      <c r="G63" s="40"/>
      <c r="H63" s="40"/>
      <c r="I63" s="40"/>
      <c r="J63" s="1"/>
    </row>
    <row r="64" spans="1:11" s="1" customFormat="1" ht="48" customHeight="1" x14ac:dyDescent="0.25">
      <c r="B64" s="2" t="s">
        <v>574</v>
      </c>
      <c r="C64" s="2" t="s">
        <v>529</v>
      </c>
      <c r="D64" s="4" t="s">
        <v>6</v>
      </c>
      <c r="E64" s="4" t="s">
        <v>6</v>
      </c>
      <c r="F64" s="4" t="s">
        <v>6</v>
      </c>
      <c r="G64" s="4" t="s">
        <v>235</v>
      </c>
      <c r="H64" s="4" t="s">
        <v>235</v>
      </c>
      <c r="I64" s="2"/>
    </row>
    <row r="65" spans="2:10" s="1" customFormat="1" ht="48" customHeight="1" x14ac:dyDescent="0.25">
      <c r="B65" s="2" t="s">
        <v>408</v>
      </c>
      <c r="C65" s="2" t="s">
        <v>530</v>
      </c>
      <c r="D65" s="4" t="s">
        <v>6</v>
      </c>
      <c r="E65" s="4" t="s">
        <v>6</v>
      </c>
      <c r="F65" s="4" t="s">
        <v>6</v>
      </c>
      <c r="G65" s="4" t="s">
        <v>235</v>
      </c>
      <c r="H65" s="4" t="s">
        <v>235</v>
      </c>
      <c r="I65" s="2"/>
    </row>
    <row r="66" spans="2:10" s="1" customFormat="1" ht="48" customHeight="1" x14ac:dyDescent="0.25">
      <c r="B66" s="2" t="s">
        <v>409</v>
      </c>
      <c r="C66" s="2" t="s">
        <v>531</v>
      </c>
      <c r="D66" s="4" t="s">
        <v>6</v>
      </c>
      <c r="E66" s="4" t="s">
        <v>6</v>
      </c>
      <c r="F66" s="4" t="s">
        <v>6</v>
      </c>
      <c r="G66" s="4" t="s">
        <v>235</v>
      </c>
      <c r="H66" s="4" t="s">
        <v>235</v>
      </c>
      <c r="I66" s="2"/>
    </row>
    <row r="67" spans="2:10" s="1" customFormat="1" ht="48" customHeight="1" x14ac:dyDescent="0.25">
      <c r="B67" s="2" t="s">
        <v>410</v>
      </c>
      <c r="C67" s="2" t="s">
        <v>532</v>
      </c>
      <c r="D67" s="4" t="s">
        <v>6</v>
      </c>
      <c r="E67" s="4" t="s">
        <v>6</v>
      </c>
      <c r="F67" s="4" t="s">
        <v>6</v>
      </c>
      <c r="G67" s="4" t="s">
        <v>235</v>
      </c>
      <c r="H67" s="4" t="s">
        <v>235</v>
      </c>
      <c r="I67" s="2"/>
    </row>
    <row r="68" spans="2:10" s="1" customFormat="1" ht="48" customHeight="1" x14ac:dyDescent="0.25">
      <c r="B68" s="2" t="s">
        <v>526</v>
      </c>
      <c r="C68" s="2" t="s">
        <v>533</v>
      </c>
      <c r="D68" s="4" t="s">
        <v>6</v>
      </c>
      <c r="E68" s="4" t="s">
        <v>6</v>
      </c>
      <c r="F68" s="4" t="s">
        <v>6</v>
      </c>
      <c r="G68" s="4" t="s">
        <v>235</v>
      </c>
      <c r="H68" s="4" t="s">
        <v>235</v>
      </c>
      <c r="I68" s="2"/>
    </row>
    <row r="69" spans="2:10" ht="15" x14ac:dyDescent="0.25">
      <c r="B69" s="40" t="s">
        <v>494</v>
      </c>
      <c r="C69" s="40"/>
      <c r="D69" s="40"/>
      <c r="E69" s="40"/>
      <c r="F69" s="40"/>
      <c r="G69" s="40"/>
      <c r="H69" s="40"/>
      <c r="I69" s="40"/>
      <c r="J69" s="1"/>
    </row>
    <row r="70" spans="2:10" s="1" customFormat="1" ht="48" customHeight="1" x14ac:dyDescent="0.25">
      <c r="B70" s="2" t="s">
        <v>411</v>
      </c>
      <c r="C70" s="2" t="s">
        <v>534</v>
      </c>
      <c r="D70" s="4" t="s">
        <v>6</v>
      </c>
      <c r="E70" s="4" t="s">
        <v>6</v>
      </c>
      <c r="F70" s="4" t="s">
        <v>6</v>
      </c>
      <c r="G70" s="4" t="s">
        <v>235</v>
      </c>
      <c r="H70" s="4" t="s">
        <v>235</v>
      </c>
      <c r="I70" s="2"/>
    </row>
    <row r="71" spans="2:10" s="1" customFormat="1" ht="48" customHeight="1" x14ac:dyDescent="0.25">
      <c r="B71" s="2" t="s">
        <v>587</v>
      </c>
      <c r="C71" s="2" t="s">
        <v>535</v>
      </c>
      <c r="D71" s="4" t="s">
        <v>6</v>
      </c>
      <c r="E71" s="4" t="s">
        <v>6</v>
      </c>
      <c r="F71" s="4" t="s">
        <v>6</v>
      </c>
      <c r="G71" s="4" t="s">
        <v>235</v>
      </c>
      <c r="H71" s="4" t="s">
        <v>235</v>
      </c>
      <c r="I71" s="2"/>
    </row>
    <row r="72" spans="2:10" s="1" customFormat="1" ht="48" customHeight="1" x14ac:dyDescent="0.25">
      <c r="B72" s="2" t="s">
        <v>527</v>
      </c>
      <c r="C72" s="2" t="s">
        <v>536</v>
      </c>
      <c r="D72" s="4" t="s">
        <v>6</v>
      </c>
      <c r="E72" s="4" t="s">
        <v>6</v>
      </c>
      <c r="F72" s="4" t="s">
        <v>6</v>
      </c>
      <c r="G72" s="4" t="s">
        <v>235</v>
      </c>
      <c r="H72" s="4" t="s">
        <v>235</v>
      </c>
      <c r="I72" s="2"/>
    </row>
    <row r="73" spans="2:10" ht="15" x14ac:dyDescent="0.25">
      <c r="B73" s="40" t="s">
        <v>495</v>
      </c>
      <c r="C73" s="40"/>
      <c r="D73" s="40"/>
      <c r="E73" s="40"/>
      <c r="F73" s="40"/>
      <c r="G73" s="40"/>
      <c r="H73" s="40"/>
      <c r="I73" s="40"/>
      <c r="J73" s="1"/>
    </row>
    <row r="74" spans="2:10" s="1" customFormat="1" ht="48" customHeight="1" x14ac:dyDescent="0.25">
      <c r="B74" s="2" t="s">
        <v>412</v>
      </c>
      <c r="C74" s="2" t="s">
        <v>537</v>
      </c>
      <c r="D74" s="4" t="s">
        <v>6</v>
      </c>
      <c r="E74" s="4" t="s">
        <v>6</v>
      </c>
      <c r="F74" s="4" t="s">
        <v>6</v>
      </c>
      <c r="G74" s="4" t="s">
        <v>235</v>
      </c>
      <c r="H74" s="4" t="s">
        <v>235</v>
      </c>
      <c r="I74" s="2"/>
    </row>
  </sheetData>
  <sheetProtection selectLockedCells="1" selectUnlockedCells="1"/>
  <autoFilter ref="B4:K74" xr:uid="{00000000-0009-0000-0000-000000000000}"/>
  <pageMargins left="0.25" right="0.25" top="0.75" bottom="0.75" header="0.3" footer="0.3"/>
  <pageSetup paperSize="9" scale="6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D3C2A-5520-40C8-A1AA-80212BDB7166}">
  <dimension ref="B1:J12"/>
  <sheetViews>
    <sheetView view="pageBreakPreview" topLeftCell="A7" zoomScale="85" zoomScaleNormal="100" zoomScaleSheetLayoutView="85" zoomScalePageLayoutView="85" workbookViewId="0">
      <selection activeCell="C8" sqref="C8"/>
    </sheetView>
  </sheetViews>
  <sheetFormatPr defaultColWidth="9.140625" defaultRowHeight="24.75" customHeight="1" x14ac:dyDescent="0.2"/>
  <cols>
    <col min="1" max="1" width="9.140625" style="93"/>
    <col min="2" max="2" width="6" style="108" customWidth="1"/>
    <col min="3" max="3" width="49.7109375" style="109" customWidth="1"/>
    <col min="4" max="4" width="70.140625" style="110" customWidth="1"/>
    <col min="5" max="8" width="11.5703125" style="111" customWidth="1"/>
    <col min="9" max="9" width="15.42578125" style="112" customWidth="1"/>
    <col min="10" max="10" width="22.7109375" style="113" customWidth="1"/>
    <col min="11" max="16384" width="9.140625" style="93"/>
  </cols>
  <sheetData>
    <row r="1" spans="2:10" ht="24.75" customHeight="1" x14ac:dyDescent="0.2">
      <c r="B1" s="156" t="s">
        <v>625</v>
      </c>
      <c r="C1" s="157"/>
      <c r="D1" s="157"/>
      <c r="E1" s="157"/>
      <c r="F1" s="157"/>
      <c r="G1" s="157"/>
      <c r="H1" s="157"/>
      <c r="I1" s="157"/>
      <c r="J1" s="157"/>
    </row>
    <row r="2" spans="2:10" ht="27" customHeight="1" x14ac:dyDescent="0.2">
      <c r="B2" s="157"/>
      <c r="C2" s="157"/>
      <c r="D2" s="157"/>
      <c r="E2" s="157"/>
      <c r="F2" s="157"/>
      <c r="G2" s="157"/>
      <c r="H2" s="157"/>
      <c r="I2" s="157"/>
      <c r="J2" s="157"/>
    </row>
    <row r="3" spans="2:10" ht="27" customHeight="1" x14ac:dyDescent="0.2">
      <c r="B3" s="157"/>
      <c r="C3" s="157"/>
      <c r="D3" s="157"/>
      <c r="E3" s="157"/>
      <c r="F3" s="157"/>
      <c r="G3" s="157"/>
      <c r="H3" s="157"/>
      <c r="I3" s="157"/>
      <c r="J3" s="157"/>
    </row>
    <row r="4" spans="2:10" s="95" customFormat="1" ht="24.75" customHeight="1" x14ac:dyDescent="0.2">
      <c r="B4" s="94"/>
    </row>
    <row r="5" spans="2:10" s="99" customFormat="1" ht="24.75" customHeight="1" x14ac:dyDescent="0.25">
      <c r="B5" s="96" t="s">
        <v>604</v>
      </c>
      <c r="C5" s="97" t="s">
        <v>605</v>
      </c>
      <c r="D5" s="98" t="s">
        <v>8</v>
      </c>
      <c r="E5" s="96" t="s">
        <v>7</v>
      </c>
      <c r="F5" s="96" t="s">
        <v>1</v>
      </c>
      <c r="G5" s="96" t="s">
        <v>2</v>
      </c>
      <c r="H5" s="96" t="s">
        <v>3</v>
      </c>
      <c r="I5" s="98" t="s">
        <v>4</v>
      </c>
      <c r="J5" s="98" t="s">
        <v>5</v>
      </c>
    </row>
    <row r="6" spans="2:10" ht="24.75" customHeight="1" thickBot="1" x14ac:dyDescent="0.25">
      <c r="B6" s="100"/>
      <c r="C6" s="115" t="s">
        <v>488</v>
      </c>
      <c r="D6" s="101"/>
      <c r="E6" s="102"/>
      <c r="F6" s="102"/>
      <c r="G6" s="102"/>
      <c r="H6" s="102"/>
      <c r="I6" s="102"/>
      <c r="J6" s="103"/>
    </row>
    <row r="7" spans="2:10" s="99" customFormat="1" ht="52.5" customHeight="1" thickBot="1" x14ac:dyDescent="0.3">
      <c r="B7" s="114">
        <v>1</v>
      </c>
      <c r="C7" s="189" t="s">
        <v>403</v>
      </c>
      <c r="D7" s="190" t="s">
        <v>504</v>
      </c>
      <c r="E7" s="105"/>
      <c r="F7" s="106"/>
      <c r="G7" s="106"/>
      <c r="H7" s="106"/>
      <c r="I7" s="106"/>
      <c r="J7" s="107"/>
    </row>
    <row r="8" spans="2:10" s="99" customFormat="1" ht="101.25" customHeight="1" thickBot="1" x14ac:dyDescent="0.3">
      <c r="B8" s="114">
        <f>B7+1</f>
        <v>2</v>
      </c>
      <c r="C8" s="191" t="s">
        <v>628</v>
      </c>
      <c r="D8" s="192" t="s">
        <v>629</v>
      </c>
      <c r="E8" s="106"/>
      <c r="F8" s="106"/>
      <c r="G8" s="106"/>
      <c r="H8" s="106"/>
      <c r="I8" s="106"/>
      <c r="J8" s="107"/>
    </row>
    <row r="9" spans="2:10" s="99" customFormat="1" ht="101.25" customHeight="1" thickBot="1" x14ac:dyDescent="0.3">
      <c r="B9" s="114">
        <f t="shared" ref="B9:B11" si="0">B8+1</f>
        <v>3</v>
      </c>
      <c r="C9" s="189" t="s">
        <v>630</v>
      </c>
      <c r="D9" s="193" t="s">
        <v>631</v>
      </c>
      <c r="E9" s="106"/>
      <c r="F9" s="106"/>
      <c r="G9" s="106"/>
      <c r="H9" s="106"/>
      <c r="I9" s="106"/>
      <c r="J9" s="107"/>
    </row>
    <row r="10" spans="2:10" s="99" customFormat="1" ht="101.25" customHeight="1" thickBot="1" x14ac:dyDescent="0.3">
      <c r="B10" s="114">
        <f t="shared" si="0"/>
        <v>4</v>
      </c>
      <c r="C10" s="194" t="s">
        <v>632</v>
      </c>
      <c r="D10" s="195" t="s">
        <v>633</v>
      </c>
      <c r="E10" s="106"/>
      <c r="F10" s="106"/>
      <c r="G10" s="106"/>
      <c r="H10" s="106"/>
      <c r="I10" s="106"/>
      <c r="J10" s="107"/>
    </row>
    <row r="11" spans="2:10" s="99" customFormat="1" ht="101.25" customHeight="1" thickBot="1" x14ac:dyDescent="0.3">
      <c r="B11" s="114">
        <f t="shared" si="0"/>
        <v>5</v>
      </c>
      <c r="C11" s="194" t="s">
        <v>634</v>
      </c>
      <c r="D11" s="195" t="s">
        <v>635</v>
      </c>
      <c r="E11" s="106"/>
      <c r="F11" s="106"/>
      <c r="G11" s="106"/>
      <c r="H11" s="106"/>
      <c r="I11" s="106"/>
      <c r="J11" s="107"/>
    </row>
    <row r="12" spans="2:10" ht="24.75" customHeight="1" x14ac:dyDescent="0.2">
      <c r="C12" s="188"/>
      <c r="D12" s="185"/>
    </row>
  </sheetData>
  <mergeCells count="1">
    <mergeCell ref="B1:J3"/>
  </mergeCells>
  <pageMargins left="0.7" right="0.7" top="0.75" bottom="0.75" header="0.3" footer="0.3"/>
  <pageSetup paperSize="9" scale="59" orientation="landscape" horizontalDpi="0" verticalDpi="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63"/>
  <sheetViews>
    <sheetView workbookViewId="0"/>
  </sheetViews>
  <sheetFormatPr defaultRowHeight="15" x14ac:dyDescent="0.25"/>
  <cols>
    <col min="1" max="1" width="38.85546875" customWidth="1"/>
    <col min="2" max="2" width="80.5703125" style="1" customWidth="1"/>
    <col min="3" max="3" width="36.7109375" style="1" customWidth="1"/>
  </cols>
  <sheetData>
    <row r="1" spans="1:3" x14ac:dyDescent="0.25">
      <c r="A1" s="5" t="s">
        <v>16</v>
      </c>
      <c r="B1" s="6" t="s">
        <v>17</v>
      </c>
      <c r="C1" s="7" t="s">
        <v>18</v>
      </c>
    </row>
    <row r="2" spans="1:3" x14ac:dyDescent="0.25">
      <c r="A2" s="8" t="s">
        <v>0</v>
      </c>
      <c r="B2" s="8"/>
    </row>
    <row r="3" spans="1:3" x14ac:dyDescent="0.25">
      <c r="A3" s="9" t="s">
        <v>9</v>
      </c>
      <c r="B3" s="10" t="s">
        <v>19</v>
      </c>
      <c r="C3" s="1" t="s">
        <v>20</v>
      </c>
    </row>
    <row r="4" spans="1:3" x14ac:dyDescent="0.25">
      <c r="A4" s="9" t="s">
        <v>10</v>
      </c>
      <c r="B4" s="10" t="s">
        <v>21</v>
      </c>
      <c r="C4" s="1" t="s">
        <v>22</v>
      </c>
    </row>
    <row r="5" spans="1:3" ht="75" x14ac:dyDescent="0.25">
      <c r="A5" s="11" t="s">
        <v>11</v>
      </c>
      <c r="B5" s="12" t="s">
        <v>23</v>
      </c>
      <c r="C5" s="2" t="s">
        <v>24</v>
      </c>
    </row>
    <row r="6" spans="1:3" x14ac:dyDescent="0.25">
      <c r="A6" s="9"/>
      <c r="B6" s="10"/>
    </row>
    <row r="7" spans="1:3" x14ac:dyDescent="0.25">
      <c r="A7" s="13" t="s">
        <v>25</v>
      </c>
      <c r="B7" s="8"/>
    </row>
    <row r="8" spans="1:3" x14ac:dyDescent="0.25">
      <c r="A8" s="9" t="s">
        <v>26</v>
      </c>
      <c r="B8" s="10" t="s">
        <v>27</v>
      </c>
      <c r="C8" s="1" t="s">
        <v>28</v>
      </c>
    </row>
    <row r="9" spans="1:3" ht="60" x14ac:dyDescent="0.25">
      <c r="A9" s="14" t="s">
        <v>29</v>
      </c>
      <c r="B9" s="10" t="s">
        <v>30</v>
      </c>
      <c r="C9" s="2" t="s">
        <v>31</v>
      </c>
    </row>
    <row r="10" spans="1:3" x14ac:dyDescent="0.25">
      <c r="A10" s="9" t="s">
        <v>32</v>
      </c>
      <c r="B10" s="10" t="s">
        <v>33</v>
      </c>
      <c r="C10" s="1" t="s">
        <v>34</v>
      </c>
    </row>
    <row r="11" spans="1:3" x14ac:dyDescent="0.25">
      <c r="A11" s="9" t="s">
        <v>35</v>
      </c>
      <c r="B11" s="10" t="s">
        <v>36</v>
      </c>
      <c r="C11" s="1" t="s">
        <v>22</v>
      </c>
    </row>
    <row r="12" spans="1:3" ht="75" x14ac:dyDescent="0.25">
      <c r="A12" s="9" t="s">
        <v>12</v>
      </c>
      <c r="B12" s="10" t="s">
        <v>37</v>
      </c>
      <c r="C12" s="2" t="s">
        <v>38</v>
      </c>
    </row>
    <row r="13" spans="1:3" x14ac:dyDescent="0.25">
      <c r="A13" s="9"/>
      <c r="B13" s="10"/>
    </row>
    <row r="14" spans="1:3" x14ac:dyDescent="0.25">
      <c r="A14" s="8" t="s">
        <v>39</v>
      </c>
      <c r="B14" s="8"/>
    </row>
    <row r="15" spans="1:3" x14ac:dyDescent="0.25">
      <c r="A15" s="9" t="s">
        <v>40</v>
      </c>
      <c r="B15" s="10" t="s">
        <v>41</v>
      </c>
      <c r="C15" s="1" t="s">
        <v>28</v>
      </c>
    </row>
    <row r="16" spans="1:3" x14ac:dyDescent="0.25">
      <c r="A16" s="9" t="s">
        <v>42</v>
      </c>
      <c r="B16" s="10" t="s">
        <v>43</v>
      </c>
      <c r="C16" s="1" t="s">
        <v>28</v>
      </c>
    </row>
    <row r="17" spans="1:3" x14ac:dyDescent="0.25">
      <c r="A17" s="9" t="s">
        <v>44</v>
      </c>
      <c r="B17" s="10" t="s">
        <v>45</v>
      </c>
      <c r="C17" s="1" t="s">
        <v>46</v>
      </c>
    </row>
    <row r="18" spans="1:3" x14ac:dyDescent="0.25">
      <c r="A18" s="9"/>
      <c r="B18" s="10"/>
    </row>
    <row r="19" spans="1:3" x14ac:dyDescent="0.25">
      <c r="A19" s="8" t="s">
        <v>47</v>
      </c>
      <c r="B19" s="158" t="s">
        <v>48</v>
      </c>
      <c r="C19" s="159" t="s">
        <v>49</v>
      </c>
    </row>
    <row r="20" spans="1:3" ht="15" customHeight="1" x14ac:dyDescent="0.25">
      <c r="A20" s="14" t="s">
        <v>50</v>
      </c>
      <c r="B20" s="158"/>
      <c r="C20" s="159"/>
    </row>
    <row r="21" spans="1:3" ht="30" x14ac:dyDescent="0.25">
      <c r="A21" s="11" t="s">
        <v>51</v>
      </c>
      <c r="B21" s="158"/>
      <c r="C21" s="159"/>
    </row>
    <row r="22" spans="1:3" ht="30" x14ac:dyDescent="0.25">
      <c r="A22" s="11" t="s">
        <v>52</v>
      </c>
      <c r="B22" s="158"/>
      <c r="C22" s="159"/>
    </row>
    <row r="23" spans="1:3" x14ac:dyDescent="0.25">
      <c r="A23" s="14" t="s">
        <v>53</v>
      </c>
      <c r="B23" s="158"/>
      <c r="C23" s="159"/>
    </row>
    <row r="24" spans="1:3" x14ac:dyDescent="0.25">
      <c r="A24" s="9"/>
      <c r="B24" s="10"/>
    </row>
    <row r="25" spans="1:3" x14ac:dyDescent="0.25">
      <c r="A25" s="8" t="s">
        <v>54</v>
      </c>
      <c r="B25" s="8"/>
    </row>
    <row r="26" spans="1:3" ht="45" x14ac:dyDescent="0.25">
      <c r="A26" s="14" t="s">
        <v>55</v>
      </c>
      <c r="B26" s="12" t="s">
        <v>56</v>
      </c>
      <c r="C26" s="2" t="s">
        <v>57</v>
      </c>
    </row>
    <row r="27" spans="1:3" ht="30" x14ac:dyDescent="0.25">
      <c r="A27" s="14" t="s">
        <v>58</v>
      </c>
      <c r="B27" s="12" t="s">
        <v>59</v>
      </c>
      <c r="C27" s="1" t="s">
        <v>60</v>
      </c>
    </row>
    <row r="28" spans="1:3" x14ac:dyDescent="0.25">
      <c r="A28" s="11" t="s">
        <v>61</v>
      </c>
      <c r="B28" s="12" t="s">
        <v>62</v>
      </c>
      <c r="C28" s="1" t="s">
        <v>63</v>
      </c>
    </row>
    <row r="29" spans="1:3" x14ac:dyDescent="0.25">
      <c r="A29" s="14" t="s">
        <v>64</v>
      </c>
      <c r="B29" s="10" t="s">
        <v>65</v>
      </c>
      <c r="C29" s="1" t="s">
        <v>28</v>
      </c>
    </row>
    <row r="30" spans="1:3" x14ac:dyDescent="0.25">
      <c r="A30" s="14"/>
      <c r="B30" s="10"/>
    </row>
    <row r="31" spans="1:3" x14ac:dyDescent="0.25">
      <c r="A31" s="8" t="s">
        <v>15</v>
      </c>
      <c r="B31" s="8"/>
    </row>
    <row r="32" spans="1:3" x14ac:dyDescent="0.25">
      <c r="A32" s="14" t="s">
        <v>66</v>
      </c>
      <c r="B32" s="10"/>
    </row>
    <row r="33" spans="1:3" ht="30" x14ac:dyDescent="0.25">
      <c r="A33" s="15" t="s">
        <v>67</v>
      </c>
      <c r="B33" s="12" t="s">
        <v>68</v>
      </c>
      <c r="C33" s="1" t="s">
        <v>28</v>
      </c>
    </row>
    <row r="34" spans="1:3" ht="30" x14ac:dyDescent="0.25">
      <c r="A34" s="15" t="s">
        <v>69</v>
      </c>
      <c r="B34" s="12" t="s">
        <v>70</v>
      </c>
      <c r="C34" s="1" t="s">
        <v>28</v>
      </c>
    </row>
    <row r="35" spans="1:3" ht="30" x14ac:dyDescent="0.25">
      <c r="A35" s="15" t="s">
        <v>71</v>
      </c>
      <c r="B35" s="12" t="s">
        <v>72</v>
      </c>
      <c r="C35" s="1" t="s">
        <v>73</v>
      </c>
    </row>
    <row r="36" spans="1:3" x14ac:dyDescent="0.25">
      <c r="A36" s="15" t="s">
        <v>74</v>
      </c>
      <c r="B36" s="10" t="s">
        <v>75</v>
      </c>
      <c r="C36" s="1" t="s">
        <v>28</v>
      </c>
    </row>
    <row r="37" spans="1:3" x14ac:dyDescent="0.25">
      <c r="A37" s="14" t="s">
        <v>76</v>
      </c>
      <c r="B37" s="10"/>
    </row>
    <row r="38" spans="1:3" x14ac:dyDescent="0.25">
      <c r="A38" s="15" t="s">
        <v>77</v>
      </c>
      <c r="B38" s="10" t="s">
        <v>78</v>
      </c>
      <c r="C38" s="1" t="s">
        <v>79</v>
      </c>
    </row>
    <row r="39" spans="1:3" ht="30" x14ac:dyDescent="0.25">
      <c r="A39" s="16" t="s">
        <v>80</v>
      </c>
      <c r="B39" s="10" t="s">
        <v>81</v>
      </c>
      <c r="C39" s="1" t="s">
        <v>79</v>
      </c>
    </row>
    <row r="40" spans="1:3" x14ac:dyDescent="0.25">
      <c r="A40" s="14" t="s">
        <v>82</v>
      </c>
      <c r="B40" s="10"/>
    </row>
    <row r="41" spans="1:3" x14ac:dyDescent="0.25">
      <c r="A41" s="15" t="s">
        <v>83</v>
      </c>
      <c r="B41" s="10" t="s">
        <v>84</v>
      </c>
      <c r="C41" s="1" t="s">
        <v>28</v>
      </c>
    </row>
    <row r="42" spans="1:3" ht="30" x14ac:dyDescent="0.25">
      <c r="A42" s="15" t="s">
        <v>85</v>
      </c>
      <c r="B42" s="12" t="s">
        <v>86</v>
      </c>
      <c r="C42" s="1" t="s">
        <v>87</v>
      </c>
    </row>
    <row r="43" spans="1:3" x14ac:dyDescent="0.25">
      <c r="A43" s="14" t="s">
        <v>88</v>
      </c>
      <c r="B43" s="10"/>
    </row>
    <row r="44" spans="1:3" x14ac:dyDescent="0.25">
      <c r="A44" s="15" t="s">
        <v>89</v>
      </c>
      <c r="B44" s="10" t="s">
        <v>90</v>
      </c>
      <c r="C44" s="1" t="s">
        <v>87</v>
      </c>
    </row>
    <row r="45" spans="1:3" x14ac:dyDescent="0.25">
      <c r="A45" s="15" t="s">
        <v>91</v>
      </c>
      <c r="B45" s="10" t="s">
        <v>92</v>
      </c>
      <c r="C45" s="1" t="s">
        <v>28</v>
      </c>
    </row>
    <row r="46" spans="1:3" x14ac:dyDescent="0.25">
      <c r="A46" s="15" t="s">
        <v>93</v>
      </c>
      <c r="B46" s="10" t="s">
        <v>94</v>
      </c>
      <c r="C46" s="1" t="s">
        <v>28</v>
      </c>
    </row>
    <row r="47" spans="1:3" x14ac:dyDescent="0.25">
      <c r="A47" s="14" t="s">
        <v>14</v>
      </c>
      <c r="B47" s="10" t="s">
        <v>95</v>
      </c>
      <c r="C47" s="1" t="s">
        <v>28</v>
      </c>
    </row>
    <row r="48" spans="1:3" ht="30" x14ac:dyDescent="0.25">
      <c r="A48" s="14" t="s">
        <v>96</v>
      </c>
      <c r="B48" s="12" t="s">
        <v>97</v>
      </c>
      <c r="C48" s="1" t="s">
        <v>28</v>
      </c>
    </row>
    <row r="49" spans="1:3" x14ac:dyDescent="0.25">
      <c r="A49" s="9"/>
      <c r="B49" s="10"/>
    </row>
    <row r="50" spans="1:3" x14ac:dyDescent="0.25">
      <c r="A50" s="13" t="s">
        <v>98</v>
      </c>
      <c r="B50" s="8"/>
    </row>
    <row r="51" spans="1:3" ht="15" customHeight="1" x14ac:dyDescent="0.25">
      <c r="A51" s="14" t="s">
        <v>99</v>
      </c>
      <c r="B51" s="12" t="s">
        <v>100</v>
      </c>
      <c r="C51" s="1" t="s">
        <v>28</v>
      </c>
    </row>
    <row r="52" spans="1:3" ht="30" x14ac:dyDescent="0.25">
      <c r="A52" s="14" t="s">
        <v>101</v>
      </c>
      <c r="B52" s="12" t="s">
        <v>102</v>
      </c>
      <c r="C52" s="1" t="s">
        <v>28</v>
      </c>
    </row>
    <row r="53" spans="1:3" x14ac:dyDescent="0.25">
      <c r="A53" s="9"/>
      <c r="B53" s="10"/>
    </row>
    <row r="54" spans="1:3" x14ac:dyDescent="0.25">
      <c r="A54" s="13" t="s">
        <v>13</v>
      </c>
      <c r="B54" s="8"/>
    </row>
    <row r="55" spans="1:3" x14ac:dyDescent="0.25">
      <c r="A55" s="14" t="s">
        <v>103</v>
      </c>
      <c r="B55" s="10" t="s">
        <v>104</v>
      </c>
      <c r="C55" s="1" t="s">
        <v>28</v>
      </c>
    </row>
    <row r="56" spans="1:3" ht="60" x14ac:dyDescent="0.25">
      <c r="A56" s="14" t="s">
        <v>105</v>
      </c>
      <c r="B56" s="12" t="s">
        <v>106</v>
      </c>
      <c r="C56" s="1" t="s">
        <v>107</v>
      </c>
    </row>
    <row r="57" spans="1:3" x14ac:dyDescent="0.25">
      <c r="A57" s="14" t="s">
        <v>108</v>
      </c>
      <c r="B57" s="12" t="s">
        <v>109</v>
      </c>
      <c r="C57" s="1" t="s">
        <v>28</v>
      </c>
    </row>
    <row r="58" spans="1:3" x14ac:dyDescent="0.25">
      <c r="A58" s="9"/>
      <c r="B58" s="10"/>
    </row>
    <row r="59" spans="1:3" ht="90" x14ac:dyDescent="0.25">
      <c r="A59" s="13" t="s">
        <v>110</v>
      </c>
      <c r="B59" s="2" t="s">
        <v>111</v>
      </c>
      <c r="C59" s="2" t="s">
        <v>112</v>
      </c>
    </row>
    <row r="60" spans="1:3" x14ac:dyDescent="0.25">
      <c r="A60" s="9"/>
      <c r="B60" s="10"/>
    </row>
    <row r="61" spans="1:3" ht="75" x14ac:dyDescent="0.25">
      <c r="A61" s="8" t="s">
        <v>113</v>
      </c>
      <c r="B61" s="2" t="s">
        <v>114</v>
      </c>
      <c r="C61" s="1" t="s">
        <v>115</v>
      </c>
    </row>
    <row r="62" spans="1:3" x14ac:dyDescent="0.25">
      <c r="A62" s="9"/>
      <c r="B62" s="10"/>
    </row>
    <row r="63" spans="1:3" ht="15" customHeight="1" x14ac:dyDescent="0.25">
      <c r="A63" s="8" t="s">
        <v>116</v>
      </c>
      <c r="B63" s="12" t="s">
        <v>117</v>
      </c>
      <c r="C63" s="1" t="s">
        <v>28</v>
      </c>
    </row>
  </sheetData>
  <mergeCells count="2">
    <mergeCell ref="B19:B23"/>
    <mergeCell ref="C19:C23"/>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56783-BF87-4FD6-B937-0BC3FEA91025}">
  <sheetPr>
    <pageSetUpPr fitToPage="1"/>
  </sheetPr>
  <dimension ref="B2:E12"/>
  <sheetViews>
    <sheetView view="pageBreakPreview" zoomScale="85" zoomScaleNormal="100" zoomScaleSheetLayoutView="85" zoomScalePageLayoutView="70" workbookViewId="0">
      <selection activeCell="D9" sqref="D9"/>
    </sheetView>
  </sheetViews>
  <sheetFormatPr defaultColWidth="9.140625" defaultRowHeight="18" x14ac:dyDescent="0.2"/>
  <cols>
    <col min="1" max="1" width="9.140625" style="93"/>
    <col min="2" max="2" width="6" style="108" customWidth="1"/>
    <col min="3" max="3" width="49.7109375" style="109" customWidth="1"/>
    <col min="4" max="4" width="93.42578125" style="110" customWidth="1"/>
    <col min="5" max="5" width="76.5703125" style="111" customWidth="1"/>
    <col min="6" max="16384" width="9.140625" style="93"/>
  </cols>
  <sheetData>
    <row r="2" spans="2:5" ht="14.25" x14ac:dyDescent="0.2">
      <c r="B2" s="156" t="s">
        <v>626</v>
      </c>
      <c r="C2" s="157"/>
      <c r="D2" s="157"/>
      <c r="E2" s="157"/>
    </row>
    <row r="3" spans="2:5" ht="28.5" customHeight="1" x14ac:dyDescent="0.2">
      <c r="B3" s="157"/>
      <c r="C3" s="157"/>
      <c r="D3" s="157"/>
      <c r="E3" s="157"/>
    </row>
    <row r="4" spans="2:5" ht="34.5" customHeight="1" x14ac:dyDescent="0.2">
      <c r="B4" s="157"/>
      <c r="C4" s="157"/>
      <c r="D4" s="157"/>
      <c r="E4" s="157"/>
    </row>
    <row r="5" spans="2:5" s="95" customFormat="1" ht="14.25" x14ac:dyDescent="0.2">
      <c r="B5" s="94"/>
    </row>
    <row r="6" spans="2:5" ht="19.5" x14ac:dyDescent="0.2">
      <c r="B6" s="116" t="s">
        <v>604</v>
      </c>
      <c r="C6" s="117" t="s">
        <v>605</v>
      </c>
      <c r="D6" s="118" t="s">
        <v>17</v>
      </c>
      <c r="E6" s="119" t="s">
        <v>18</v>
      </c>
    </row>
    <row r="7" spans="2:5" ht="18.75" thickBot="1" x14ac:dyDescent="0.25">
      <c r="B7" s="120"/>
      <c r="C7" s="121" t="s">
        <v>488</v>
      </c>
      <c r="D7" s="122"/>
      <c r="E7" s="123"/>
    </row>
    <row r="8" spans="2:5" ht="55.5" customHeight="1" thickBot="1" x14ac:dyDescent="0.25">
      <c r="B8" s="155">
        <v>1</v>
      </c>
      <c r="C8" s="182" t="s">
        <v>403</v>
      </c>
      <c r="D8" s="183" t="s">
        <v>608</v>
      </c>
      <c r="E8" s="183" t="s">
        <v>636</v>
      </c>
    </row>
    <row r="9" spans="2:5" ht="55.5" customHeight="1" thickBot="1" x14ac:dyDescent="0.25">
      <c r="B9" s="196">
        <v>2</v>
      </c>
      <c r="C9" s="186" t="s">
        <v>628</v>
      </c>
      <c r="D9" s="187" t="s">
        <v>629</v>
      </c>
      <c r="E9" s="197" t="s">
        <v>637</v>
      </c>
    </row>
    <row r="10" spans="2:5" ht="55.5" customHeight="1" thickBot="1" x14ac:dyDescent="0.25">
      <c r="B10" s="196">
        <v>3</v>
      </c>
      <c r="C10" s="184" t="s">
        <v>630</v>
      </c>
      <c r="D10" s="197" t="s">
        <v>631</v>
      </c>
      <c r="E10" s="197" t="s">
        <v>638</v>
      </c>
    </row>
    <row r="11" spans="2:5" ht="55.5" customHeight="1" thickBot="1" x14ac:dyDescent="0.25">
      <c r="B11" s="196">
        <v>4</v>
      </c>
      <c r="C11" s="184" t="s">
        <v>632</v>
      </c>
      <c r="D11" s="197" t="s">
        <v>633</v>
      </c>
      <c r="E11" s="197" t="s">
        <v>639</v>
      </c>
    </row>
    <row r="12" spans="2:5" ht="55.5" customHeight="1" thickBot="1" x14ac:dyDescent="0.25">
      <c r="B12" s="196">
        <v>5</v>
      </c>
      <c r="C12" s="184" t="s">
        <v>634</v>
      </c>
      <c r="D12" s="197" t="s">
        <v>635</v>
      </c>
      <c r="E12" s="197" t="s">
        <v>640</v>
      </c>
    </row>
  </sheetData>
  <mergeCells count="1">
    <mergeCell ref="B2:E4"/>
  </mergeCells>
  <pageMargins left="0.25" right="0.25" top="0.75" bottom="0.75" header="0.3" footer="0.3"/>
  <pageSetup paperSize="9" scale="63" orientation="landscape" horizontalDpi="0" verticalDpi="0"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14999847407452621"/>
    <pageSetUpPr fitToPage="1"/>
  </sheetPr>
  <dimension ref="B1:T14"/>
  <sheetViews>
    <sheetView showGridLines="0" tabSelected="1" view="pageLayout" topLeftCell="A4" zoomScale="55" zoomScaleNormal="90" zoomScalePageLayoutView="55" workbookViewId="0">
      <selection activeCell="C10" sqref="C10"/>
    </sheetView>
  </sheetViews>
  <sheetFormatPr defaultRowHeight="15" x14ac:dyDescent="0.25"/>
  <cols>
    <col min="2" max="2" width="6" customWidth="1"/>
    <col min="3" max="3" width="29.140625" customWidth="1"/>
    <col min="4" max="4" width="6.42578125" customWidth="1"/>
    <col min="5" max="5" width="6.42578125" style="76" customWidth="1"/>
    <col min="6" max="6" width="13.42578125" customWidth="1"/>
    <col min="7" max="7" width="17.5703125" customWidth="1"/>
    <col min="8" max="8" width="15.42578125" customWidth="1"/>
    <col min="9" max="9" width="16" customWidth="1"/>
    <col min="10" max="10" width="73" customWidth="1"/>
    <col min="11" max="11" width="12.140625" customWidth="1"/>
    <col min="12" max="12" width="46.28515625" customWidth="1"/>
    <col min="13" max="13" width="13.7109375" customWidth="1"/>
    <col min="14" max="14" width="36.5703125" customWidth="1"/>
    <col min="15" max="15" width="15.5703125" customWidth="1"/>
    <col min="16" max="16" width="28" customWidth="1"/>
    <col min="17" max="17" width="23.140625" customWidth="1"/>
    <col min="18" max="18" width="15" customWidth="1"/>
    <col min="19" max="19" width="25.7109375" customWidth="1"/>
    <col min="20" max="20" width="20.5703125" customWidth="1"/>
    <col min="21" max="21" width="2.7109375" customWidth="1"/>
  </cols>
  <sheetData>
    <row r="1" spans="2:20" s="93" customFormat="1" ht="14.25" x14ac:dyDescent="0.2">
      <c r="B1" s="124" t="s">
        <v>278</v>
      </c>
      <c r="C1" s="125"/>
      <c r="D1" s="125"/>
      <c r="E1" s="125"/>
      <c r="F1" s="126"/>
      <c r="G1" s="127" t="s">
        <v>459</v>
      </c>
      <c r="H1" s="128"/>
      <c r="I1" s="128"/>
      <c r="J1" s="129"/>
      <c r="K1" s="130"/>
      <c r="L1" s="130"/>
      <c r="M1" s="130"/>
      <c r="N1" s="130"/>
      <c r="O1" s="129"/>
      <c r="P1" s="130"/>
      <c r="Q1" s="130"/>
      <c r="R1" s="130"/>
      <c r="S1" s="130"/>
      <c r="T1" s="131"/>
    </row>
    <row r="2" spans="2:20" s="93" customFormat="1" ht="15" customHeight="1" x14ac:dyDescent="0.2">
      <c r="B2" s="132" t="s">
        <v>280</v>
      </c>
      <c r="C2" s="133"/>
      <c r="D2" s="134"/>
      <c r="E2" s="134"/>
      <c r="F2" s="135"/>
      <c r="G2" s="136" t="s">
        <v>627</v>
      </c>
      <c r="H2" s="137"/>
      <c r="I2" s="137"/>
      <c r="J2" s="138"/>
      <c r="K2" s="139"/>
      <c r="L2" s="139"/>
      <c r="M2" s="139"/>
      <c r="N2" s="139"/>
      <c r="O2" s="138"/>
      <c r="P2" s="139"/>
      <c r="Q2" s="139"/>
      <c r="R2" s="139"/>
      <c r="S2" s="139"/>
      <c r="T2" s="140"/>
    </row>
    <row r="3" spans="2:20" s="95" customFormat="1" ht="7.5" customHeight="1" x14ac:dyDescent="0.2">
      <c r="B3" s="141"/>
      <c r="C3" s="141"/>
      <c r="D3" s="141"/>
      <c r="E3" s="141"/>
      <c r="F3" s="141"/>
      <c r="G3" s="141"/>
      <c r="H3" s="141"/>
      <c r="I3" s="141"/>
    </row>
    <row r="4" spans="2:20" s="95" customFormat="1" ht="15" customHeight="1" x14ac:dyDescent="0.2">
      <c r="B4" s="142" t="s">
        <v>460</v>
      </c>
      <c r="C4" s="143"/>
      <c r="D4" s="143"/>
      <c r="E4" s="143"/>
      <c r="F4" s="143"/>
      <c r="G4" s="143"/>
      <c r="H4" s="143"/>
      <c r="I4" s="143"/>
      <c r="J4" s="143"/>
      <c r="K4" s="143"/>
      <c r="L4" s="143"/>
      <c r="M4" s="143"/>
      <c r="N4" s="143"/>
      <c r="O4" s="143"/>
      <c r="P4" s="143"/>
      <c r="Q4" s="143"/>
      <c r="R4" s="143"/>
      <c r="S4" s="143"/>
      <c r="T4" s="144"/>
    </row>
    <row r="5" spans="2:20" s="95" customFormat="1" ht="14.25" x14ac:dyDescent="0.2">
      <c r="B5" s="145" t="s">
        <v>461</v>
      </c>
      <c r="C5" s="146"/>
      <c r="D5" s="146"/>
      <c r="E5" s="146"/>
      <c r="F5" s="146"/>
      <c r="G5" s="146"/>
      <c r="H5" s="146"/>
      <c r="I5" s="146"/>
      <c r="J5" s="146"/>
      <c r="K5" s="146"/>
      <c r="L5" s="146"/>
      <c r="M5" s="146"/>
      <c r="N5" s="146"/>
      <c r="O5" s="146"/>
      <c r="P5" s="146"/>
      <c r="Q5" s="146"/>
      <c r="R5" s="146"/>
      <c r="S5" s="146"/>
      <c r="T5" s="147"/>
    </row>
    <row r="6" spans="2:20" s="93" customFormat="1" ht="14.25" x14ac:dyDescent="0.2"/>
    <row r="7" spans="2:20" s="99" customFormat="1" ht="37.5" customHeight="1" x14ac:dyDescent="0.25">
      <c r="B7" s="162" t="s">
        <v>268</v>
      </c>
      <c r="C7" s="160" t="s">
        <v>269</v>
      </c>
      <c r="D7" s="164" t="s">
        <v>462</v>
      </c>
      <c r="E7" s="165"/>
      <c r="F7" s="160" t="s">
        <v>463</v>
      </c>
      <c r="G7" s="160" t="s">
        <v>272</v>
      </c>
      <c r="H7" s="160" t="s">
        <v>464</v>
      </c>
      <c r="I7" s="160" t="s">
        <v>465</v>
      </c>
      <c r="J7" s="168" t="s">
        <v>271</v>
      </c>
      <c r="K7" s="160" t="s">
        <v>273</v>
      </c>
      <c r="L7" s="160" t="s">
        <v>466</v>
      </c>
      <c r="M7" s="160" t="s">
        <v>467</v>
      </c>
      <c r="N7" s="160" t="s">
        <v>468</v>
      </c>
      <c r="O7" s="160" t="s">
        <v>469</v>
      </c>
      <c r="P7" s="160" t="s">
        <v>122</v>
      </c>
      <c r="Q7" s="160" t="s">
        <v>470</v>
      </c>
      <c r="R7" s="170" t="s">
        <v>471</v>
      </c>
      <c r="S7" s="170"/>
      <c r="T7" s="166" t="s">
        <v>366</v>
      </c>
    </row>
    <row r="8" spans="2:20" s="99" customFormat="1" ht="62.25" customHeight="1" x14ac:dyDescent="0.25">
      <c r="B8" s="163"/>
      <c r="C8" s="161"/>
      <c r="D8" s="148" t="s">
        <v>223</v>
      </c>
      <c r="E8" s="148" t="s">
        <v>123</v>
      </c>
      <c r="F8" s="161"/>
      <c r="G8" s="161"/>
      <c r="H8" s="161"/>
      <c r="I8" s="161"/>
      <c r="J8" s="169"/>
      <c r="K8" s="161"/>
      <c r="L8" s="161"/>
      <c r="M8" s="161"/>
      <c r="N8" s="161"/>
      <c r="O8" s="161"/>
      <c r="P8" s="161"/>
      <c r="Q8" s="161"/>
      <c r="R8" s="148" t="s">
        <v>472</v>
      </c>
      <c r="S8" s="148" t="s">
        <v>473</v>
      </c>
      <c r="T8" s="167"/>
    </row>
    <row r="9" spans="2:20" ht="9.75" customHeight="1" x14ac:dyDescent="0.25">
      <c r="B9" s="71"/>
      <c r="C9" s="72"/>
      <c r="D9" s="72"/>
      <c r="E9" s="72"/>
      <c r="F9" s="72"/>
      <c r="G9" s="72"/>
      <c r="H9" s="72"/>
      <c r="I9" s="72"/>
      <c r="J9" s="73"/>
      <c r="K9" s="72"/>
      <c r="L9" s="72"/>
      <c r="M9" s="72"/>
      <c r="N9" s="72"/>
      <c r="O9" s="72"/>
      <c r="P9" s="72"/>
      <c r="Q9" s="72"/>
      <c r="R9" s="72"/>
      <c r="S9" s="72"/>
      <c r="T9" s="74"/>
    </row>
    <row r="10" spans="2:20" s="3" customFormat="1" ht="185.25" x14ac:dyDescent="0.25">
      <c r="B10" s="149">
        <v>1</v>
      </c>
      <c r="C10" s="200" t="s">
        <v>403</v>
      </c>
      <c r="D10" s="150"/>
      <c r="E10" s="150" t="s">
        <v>474</v>
      </c>
      <c r="F10" s="150" t="s">
        <v>475</v>
      </c>
      <c r="G10" s="104" t="s">
        <v>476</v>
      </c>
      <c r="H10" s="150" t="s">
        <v>284</v>
      </c>
      <c r="I10" s="150" t="s">
        <v>28</v>
      </c>
      <c r="J10" s="104" t="s">
        <v>504</v>
      </c>
      <c r="K10" s="150" t="s">
        <v>284</v>
      </c>
      <c r="L10" s="150" t="s">
        <v>28</v>
      </c>
      <c r="M10" s="150" t="s">
        <v>28</v>
      </c>
      <c r="N10" s="150" t="s">
        <v>28</v>
      </c>
      <c r="O10" s="150" t="s">
        <v>284</v>
      </c>
      <c r="P10" s="104" t="s">
        <v>479</v>
      </c>
      <c r="Q10" s="151" t="s">
        <v>478</v>
      </c>
      <c r="R10" s="150" t="s">
        <v>480</v>
      </c>
      <c r="S10" s="152" t="s">
        <v>481</v>
      </c>
      <c r="T10" s="153" t="s">
        <v>488</v>
      </c>
    </row>
    <row r="11" spans="2:20" s="3" customFormat="1" ht="72" customHeight="1" x14ac:dyDescent="0.25">
      <c r="B11" s="198">
        <v>2</v>
      </c>
      <c r="C11" s="201" t="s">
        <v>628</v>
      </c>
      <c r="D11" s="199"/>
      <c r="E11" s="150"/>
      <c r="F11" s="150"/>
      <c r="G11" s="104"/>
      <c r="H11" s="150"/>
      <c r="I11" s="150"/>
      <c r="J11" s="104"/>
      <c r="K11" s="150"/>
      <c r="L11" s="150"/>
      <c r="M11" s="150"/>
      <c r="N11" s="150"/>
      <c r="O11" s="150"/>
      <c r="P11" s="104"/>
      <c r="Q11" s="151"/>
      <c r="R11" s="150"/>
      <c r="S11" s="152"/>
      <c r="T11" s="153"/>
    </row>
    <row r="12" spans="2:20" s="3" customFormat="1" ht="80.25" customHeight="1" x14ac:dyDescent="0.25">
      <c r="B12" s="198">
        <v>3</v>
      </c>
      <c r="C12" s="201" t="s">
        <v>630</v>
      </c>
      <c r="D12" s="199"/>
      <c r="E12" s="150"/>
      <c r="F12" s="150"/>
      <c r="G12" s="104"/>
      <c r="H12" s="150"/>
      <c r="I12" s="150"/>
      <c r="J12" s="104"/>
      <c r="K12" s="150"/>
      <c r="L12" s="150"/>
      <c r="M12" s="150"/>
      <c r="N12" s="150"/>
      <c r="O12" s="150"/>
      <c r="P12" s="104"/>
      <c r="Q12" s="151"/>
      <c r="R12" s="150"/>
      <c r="S12" s="152"/>
      <c r="T12" s="153"/>
    </row>
    <row r="13" spans="2:20" s="3" customFormat="1" ht="80.25" customHeight="1" x14ac:dyDescent="0.25">
      <c r="B13" s="198">
        <v>4</v>
      </c>
      <c r="C13" s="201" t="s">
        <v>632</v>
      </c>
      <c r="D13" s="199"/>
      <c r="E13" s="150"/>
      <c r="F13" s="150"/>
      <c r="G13" s="104"/>
      <c r="H13" s="150"/>
      <c r="I13" s="150"/>
      <c r="J13" s="104"/>
      <c r="K13" s="150"/>
      <c r="L13" s="150"/>
      <c r="M13" s="150"/>
      <c r="N13" s="150"/>
      <c r="O13" s="150"/>
      <c r="P13" s="104"/>
      <c r="Q13" s="151"/>
      <c r="R13" s="150"/>
      <c r="S13" s="152"/>
      <c r="T13" s="153"/>
    </row>
    <row r="14" spans="2:20" s="3" customFormat="1" ht="114" customHeight="1" x14ac:dyDescent="0.25">
      <c r="B14" s="198">
        <v>5</v>
      </c>
      <c r="C14" s="201" t="s">
        <v>634</v>
      </c>
      <c r="D14" s="199"/>
      <c r="E14" s="150" t="s">
        <v>474</v>
      </c>
      <c r="F14" s="150" t="s">
        <v>475</v>
      </c>
      <c r="G14" s="104" t="s">
        <v>476</v>
      </c>
      <c r="H14" s="150" t="s">
        <v>284</v>
      </c>
      <c r="I14" s="150" t="s">
        <v>28</v>
      </c>
      <c r="J14" s="104" t="s">
        <v>510</v>
      </c>
      <c r="K14" s="150" t="s">
        <v>284</v>
      </c>
      <c r="L14" s="150" t="s">
        <v>28</v>
      </c>
      <c r="M14" s="150" t="s">
        <v>28</v>
      </c>
      <c r="N14" s="150" t="s">
        <v>28</v>
      </c>
      <c r="O14" s="150" t="s">
        <v>284</v>
      </c>
      <c r="P14" s="104" t="s">
        <v>482</v>
      </c>
      <c r="Q14" s="151" t="s">
        <v>478</v>
      </c>
      <c r="R14" s="150" t="s">
        <v>475</v>
      </c>
      <c r="S14" s="154" t="s">
        <v>483</v>
      </c>
      <c r="T14" s="153" t="s">
        <v>488</v>
      </c>
    </row>
  </sheetData>
  <autoFilter ref="B9:T14" xr:uid="{00000000-0009-0000-0000-000004000000}"/>
  <mergeCells count="17">
    <mergeCell ref="T7:T8"/>
    <mergeCell ref="I7:I8"/>
    <mergeCell ref="J7:J8"/>
    <mergeCell ref="K7:K8"/>
    <mergeCell ref="L7:L8"/>
    <mergeCell ref="M7:M8"/>
    <mergeCell ref="N7:N8"/>
    <mergeCell ref="O7:O8"/>
    <mergeCell ref="P7:P8"/>
    <mergeCell ref="Q7:Q8"/>
    <mergeCell ref="R7:S7"/>
    <mergeCell ref="H7:H8"/>
    <mergeCell ref="B7:B8"/>
    <mergeCell ref="C7:C8"/>
    <mergeCell ref="D7:E7"/>
    <mergeCell ref="F7:F8"/>
    <mergeCell ref="G7:G8"/>
  </mergeCells>
  <conditionalFormatting sqref="C1:C9">
    <cfRule type="duplicateValues" dxfId="26" priority="54"/>
  </conditionalFormatting>
  <conditionalFormatting sqref="C10">
    <cfRule type="duplicateValues" dxfId="25" priority="53"/>
  </conditionalFormatting>
  <pageMargins left="0.25" right="0.25" top="0.75" bottom="0.75" header="0.3" footer="0.3"/>
  <pageSetup paperSize="5" scale="40"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B2:D39"/>
  <sheetViews>
    <sheetView workbookViewId="0">
      <pane xSplit="4" ySplit="2" topLeftCell="E3" activePane="bottomRight" state="frozen"/>
      <selection activeCell="B2" sqref="B2:C43"/>
      <selection pane="topRight" activeCell="B2" sqref="B2:C43"/>
      <selection pane="bottomLeft" activeCell="B2" sqref="B2:C43"/>
      <selection pane="bottomRight" activeCell="B2" sqref="B2:C43"/>
    </sheetView>
  </sheetViews>
  <sheetFormatPr defaultRowHeight="15" x14ac:dyDescent="0.25"/>
  <cols>
    <col min="3" max="3" width="84.28515625" bestFit="1" customWidth="1"/>
    <col min="4" max="4" width="39.7109375" bestFit="1" customWidth="1"/>
  </cols>
  <sheetData>
    <row r="2" spans="2:4" x14ac:dyDescent="0.25">
      <c r="B2" s="84" t="s">
        <v>604</v>
      </c>
      <c r="C2" s="84" t="s">
        <v>611</v>
      </c>
      <c r="D2" s="84" t="s">
        <v>612</v>
      </c>
    </row>
    <row r="3" spans="2:4" x14ac:dyDescent="0.25">
      <c r="B3" s="75">
        <v>1</v>
      </c>
      <c r="C3" s="81" t="s">
        <v>386</v>
      </c>
      <c r="D3" s="82" t="s">
        <v>489</v>
      </c>
    </row>
    <row r="4" spans="2:4" x14ac:dyDescent="0.25">
      <c r="B4" s="75">
        <v>2</v>
      </c>
      <c r="C4" s="81" t="s">
        <v>404</v>
      </c>
      <c r="D4" s="82" t="s">
        <v>489</v>
      </c>
    </row>
    <row r="5" spans="2:4" x14ac:dyDescent="0.25">
      <c r="B5" s="75">
        <v>3</v>
      </c>
      <c r="C5" s="81" t="s">
        <v>34</v>
      </c>
      <c r="D5" s="82" t="s">
        <v>489</v>
      </c>
    </row>
    <row r="6" spans="2:4" hidden="1" x14ac:dyDescent="0.25">
      <c r="B6" s="75">
        <v>4</v>
      </c>
      <c r="C6" s="81" t="s">
        <v>396</v>
      </c>
      <c r="D6" s="82" t="s">
        <v>15</v>
      </c>
    </row>
    <row r="7" spans="2:4" hidden="1" x14ac:dyDescent="0.25">
      <c r="B7" s="75">
        <v>5</v>
      </c>
      <c r="C7" s="81" t="s">
        <v>590</v>
      </c>
      <c r="D7" s="82" t="s">
        <v>15</v>
      </c>
    </row>
    <row r="8" spans="2:4" hidden="1" x14ac:dyDescent="0.25">
      <c r="B8" s="75">
        <v>6</v>
      </c>
      <c r="C8" s="81" t="s">
        <v>405</v>
      </c>
      <c r="D8" s="82" t="s">
        <v>490</v>
      </c>
    </row>
    <row r="9" spans="2:4" hidden="1" x14ac:dyDescent="0.25">
      <c r="B9" s="75">
        <v>7</v>
      </c>
      <c r="C9" s="81" t="s">
        <v>588</v>
      </c>
      <c r="D9" s="82" t="s">
        <v>15</v>
      </c>
    </row>
    <row r="10" spans="2:4" hidden="1" x14ac:dyDescent="0.25">
      <c r="B10" s="75">
        <v>8</v>
      </c>
      <c r="C10" s="81" t="s">
        <v>406</v>
      </c>
      <c r="D10" s="82" t="s">
        <v>491</v>
      </c>
    </row>
    <row r="11" spans="2:4" hidden="1" x14ac:dyDescent="0.25">
      <c r="B11" s="75">
        <v>9</v>
      </c>
      <c r="C11" s="81" t="s">
        <v>407</v>
      </c>
      <c r="D11" s="82" t="s">
        <v>491</v>
      </c>
    </row>
    <row r="12" spans="2:4" hidden="1" x14ac:dyDescent="0.25">
      <c r="B12" s="75">
        <v>10</v>
      </c>
      <c r="C12" s="81" t="s">
        <v>606</v>
      </c>
      <c r="D12" s="82" t="s">
        <v>491</v>
      </c>
    </row>
    <row r="13" spans="2:4" hidden="1" x14ac:dyDescent="0.25">
      <c r="B13" s="75">
        <v>11</v>
      </c>
      <c r="C13" s="81" t="s">
        <v>584</v>
      </c>
      <c r="D13" s="82" t="s">
        <v>491</v>
      </c>
    </row>
    <row r="14" spans="2:4" hidden="1" x14ac:dyDescent="0.25">
      <c r="B14" s="75">
        <v>12</v>
      </c>
      <c r="C14" s="81" t="s">
        <v>403</v>
      </c>
      <c r="D14" s="82" t="s">
        <v>488</v>
      </c>
    </row>
    <row r="15" spans="2:4" hidden="1" x14ac:dyDescent="0.25">
      <c r="B15" s="75">
        <v>13</v>
      </c>
      <c r="C15" s="81" t="s">
        <v>582</v>
      </c>
      <c r="D15" s="82" t="s">
        <v>488</v>
      </c>
    </row>
    <row r="16" spans="2:4" hidden="1" x14ac:dyDescent="0.25">
      <c r="B16" s="75">
        <v>14</v>
      </c>
      <c r="C16" s="81" t="s">
        <v>575</v>
      </c>
      <c r="D16" s="82" t="s">
        <v>485</v>
      </c>
    </row>
    <row r="17" spans="2:4" hidden="1" x14ac:dyDescent="0.25">
      <c r="B17" s="75">
        <v>15</v>
      </c>
      <c r="C17" s="81" t="s">
        <v>576</v>
      </c>
      <c r="D17" s="82" t="s">
        <v>485</v>
      </c>
    </row>
    <row r="18" spans="2:4" hidden="1" x14ac:dyDescent="0.25">
      <c r="B18" s="75">
        <v>16</v>
      </c>
      <c r="C18" s="81" t="s">
        <v>397</v>
      </c>
      <c r="D18" s="82" t="s">
        <v>485</v>
      </c>
    </row>
    <row r="19" spans="2:4" hidden="1" x14ac:dyDescent="0.25">
      <c r="B19" s="75">
        <v>17</v>
      </c>
      <c r="C19" s="81" t="s">
        <v>348</v>
      </c>
      <c r="D19" s="82" t="s">
        <v>485</v>
      </c>
    </row>
    <row r="20" spans="2:4" hidden="1" x14ac:dyDescent="0.25">
      <c r="B20" s="75">
        <v>18</v>
      </c>
      <c r="C20" s="81" t="s">
        <v>400</v>
      </c>
      <c r="D20" s="82" t="s">
        <v>486</v>
      </c>
    </row>
    <row r="21" spans="2:4" hidden="1" x14ac:dyDescent="0.25">
      <c r="B21" s="75">
        <v>19</v>
      </c>
      <c r="C21" s="81" t="s">
        <v>571</v>
      </c>
      <c r="D21" s="82" t="s">
        <v>486</v>
      </c>
    </row>
    <row r="22" spans="2:4" hidden="1" x14ac:dyDescent="0.25">
      <c r="B22" s="75">
        <v>20</v>
      </c>
      <c r="C22" s="81" t="s">
        <v>398</v>
      </c>
      <c r="D22" s="82" t="s">
        <v>486</v>
      </c>
    </row>
    <row r="23" spans="2:4" hidden="1" x14ac:dyDescent="0.25">
      <c r="B23" s="75">
        <v>21</v>
      </c>
      <c r="C23" s="81" t="s">
        <v>399</v>
      </c>
      <c r="D23" s="82" t="s">
        <v>486</v>
      </c>
    </row>
    <row r="24" spans="2:4" hidden="1" x14ac:dyDescent="0.25">
      <c r="B24" s="75">
        <v>22</v>
      </c>
      <c r="C24" s="81" t="s">
        <v>613</v>
      </c>
      <c r="D24" s="82" t="s">
        <v>487</v>
      </c>
    </row>
    <row r="25" spans="2:4" hidden="1" x14ac:dyDescent="0.25">
      <c r="B25" s="75">
        <v>28</v>
      </c>
      <c r="C25" s="81" t="s">
        <v>589</v>
      </c>
      <c r="D25" s="82" t="s">
        <v>492</v>
      </c>
    </row>
    <row r="26" spans="2:4" hidden="1" x14ac:dyDescent="0.25">
      <c r="B26" s="75">
        <v>29</v>
      </c>
      <c r="C26" s="81" t="s">
        <v>591</v>
      </c>
      <c r="D26" s="82" t="s">
        <v>492</v>
      </c>
    </row>
    <row r="27" spans="2:4" hidden="1" x14ac:dyDescent="0.25">
      <c r="B27" s="75">
        <v>30</v>
      </c>
      <c r="C27" s="81" t="s">
        <v>573</v>
      </c>
      <c r="D27" s="82" t="s">
        <v>492</v>
      </c>
    </row>
    <row r="28" spans="2:4" hidden="1" x14ac:dyDescent="0.25">
      <c r="B28" s="75">
        <v>31</v>
      </c>
      <c r="C28" s="81" t="s">
        <v>585</v>
      </c>
      <c r="D28" s="82" t="s">
        <v>492</v>
      </c>
    </row>
    <row r="29" spans="2:4" hidden="1" x14ac:dyDescent="0.25">
      <c r="B29" s="75">
        <v>32</v>
      </c>
      <c r="C29" s="81" t="s">
        <v>586</v>
      </c>
      <c r="D29" s="82" t="s">
        <v>492</v>
      </c>
    </row>
    <row r="30" spans="2:4" hidden="1" x14ac:dyDescent="0.25">
      <c r="B30" s="75">
        <v>33</v>
      </c>
      <c r="C30" s="81" t="s">
        <v>524</v>
      </c>
      <c r="D30" s="82" t="s">
        <v>492</v>
      </c>
    </row>
    <row r="31" spans="2:4" hidden="1" x14ac:dyDescent="0.25">
      <c r="B31" s="75">
        <v>34</v>
      </c>
      <c r="C31" s="81" t="s">
        <v>412</v>
      </c>
      <c r="D31" s="82" t="s">
        <v>609</v>
      </c>
    </row>
    <row r="32" spans="2:4" hidden="1" x14ac:dyDescent="0.25">
      <c r="B32" s="75">
        <v>35</v>
      </c>
      <c r="C32" s="81" t="s">
        <v>411</v>
      </c>
      <c r="D32" s="82" t="s">
        <v>494</v>
      </c>
    </row>
    <row r="33" spans="2:4" hidden="1" x14ac:dyDescent="0.25">
      <c r="B33" s="75">
        <v>36</v>
      </c>
      <c r="C33" s="81" t="s">
        <v>587</v>
      </c>
      <c r="D33" s="82" t="s">
        <v>494</v>
      </c>
    </row>
    <row r="34" spans="2:4" hidden="1" x14ac:dyDescent="0.25">
      <c r="B34" s="75">
        <v>37</v>
      </c>
      <c r="C34" s="81" t="s">
        <v>527</v>
      </c>
      <c r="D34" s="82" t="s">
        <v>494</v>
      </c>
    </row>
    <row r="35" spans="2:4" hidden="1" x14ac:dyDescent="0.25">
      <c r="B35" s="75">
        <v>38</v>
      </c>
      <c r="C35" s="1" t="s">
        <v>607</v>
      </c>
      <c r="D35" s="82" t="s">
        <v>610</v>
      </c>
    </row>
    <row r="36" spans="2:4" hidden="1" x14ac:dyDescent="0.25">
      <c r="B36" s="75">
        <v>39</v>
      </c>
      <c r="C36" s="81" t="s">
        <v>408</v>
      </c>
      <c r="D36" s="82" t="s">
        <v>610</v>
      </c>
    </row>
    <row r="37" spans="2:4" hidden="1" x14ac:dyDescent="0.25">
      <c r="B37" s="75">
        <v>40</v>
      </c>
      <c r="C37" s="81" t="s">
        <v>409</v>
      </c>
      <c r="D37" s="82" t="s">
        <v>610</v>
      </c>
    </row>
    <row r="38" spans="2:4" hidden="1" x14ac:dyDescent="0.25">
      <c r="B38" s="75">
        <v>41</v>
      </c>
      <c r="C38" s="81" t="s">
        <v>526</v>
      </c>
      <c r="D38" s="82" t="s">
        <v>610</v>
      </c>
    </row>
    <row r="39" spans="2:4" hidden="1" x14ac:dyDescent="0.25">
      <c r="B39" s="75">
        <v>42</v>
      </c>
      <c r="C39" s="81" t="s">
        <v>395</v>
      </c>
      <c r="D39" s="83" t="s">
        <v>484</v>
      </c>
    </row>
  </sheetData>
  <autoFilter ref="B2:D39" xr:uid="{00000000-0009-0000-0000-000005000000}">
    <filterColumn colId="2">
      <filters>
        <filter val="Information Technology Department"/>
      </filters>
    </filterColumn>
  </autoFilter>
  <conditionalFormatting sqref="C3">
    <cfRule type="duplicateValues" dxfId="24" priority="1"/>
  </conditionalFormatting>
  <conditionalFormatting sqref="C4:C39">
    <cfRule type="duplicateValues" dxfId="23" priority="6"/>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C43"/>
  <sheetViews>
    <sheetView showGridLines="0" workbookViewId="0">
      <pane xSplit="3" ySplit="2" topLeftCell="D26" activePane="bottomRight" state="frozen"/>
      <selection activeCell="B2" sqref="B2:C43"/>
      <selection pane="topRight" activeCell="B2" sqref="B2:C43"/>
      <selection pane="bottomLeft" activeCell="B2" sqref="B2:C43"/>
      <selection pane="bottomRight" activeCell="B2" sqref="B2:C43"/>
    </sheetView>
  </sheetViews>
  <sheetFormatPr defaultRowHeight="15" x14ac:dyDescent="0.25"/>
  <cols>
    <col min="2" max="2" width="38.5703125" bestFit="1" customWidth="1"/>
    <col min="3" max="3" width="84.28515625" bestFit="1" customWidth="1"/>
  </cols>
  <sheetData>
    <row r="2" spans="2:3" x14ac:dyDescent="0.25">
      <c r="B2" s="91" t="s">
        <v>614</v>
      </c>
      <c r="C2" s="92" t="s">
        <v>615</v>
      </c>
    </row>
    <row r="3" spans="2:3" x14ac:dyDescent="0.25">
      <c r="B3" s="85" t="s">
        <v>622</v>
      </c>
      <c r="C3" s="87" t="s">
        <v>607</v>
      </c>
    </row>
    <row r="4" spans="2:3" x14ac:dyDescent="0.25">
      <c r="B4" s="89"/>
      <c r="C4" s="87" t="s">
        <v>408</v>
      </c>
    </row>
    <row r="5" spans="2:3" x14ac:dyDescent="0.25">
      <c r="B5" s="89"/>
      <c r="C5" s="87" t="s">
        <v>409</v>
      </c>
    </row>
    <row r="6" spans="2:3" x14ac:dyDescent="0.25">
      <c r="B6" s="89"/>
      <c r="C6" s="87" t="s">
        <v>526</v>
      </c>
    </row>
    <row r="7" spans="2:3" x14ac:dyDescent="0.25">
      <c r="B7" s="86" t="s">
        <v>620</v>
      </c>
      <c r="C7" s="87" t="s">
        <v>412</v>
      </c>
    </row>
    <row r="8" spans="2:3" x14ac:dyDescent="0.25">
      <c r="B8" s="85" t="s">
        <v>621</v>
      </c>
      <c r="C8" s="87" t="s">
        <v>411</v>
      </c>
    </row>
    <row r="9" spans="2:3" x14ac:dyDescent="0.25">
      <c r="B9" s="89"/>
      <c r="C9" s="87" t="s">
        <v>587</v>
      </c>
    </row>
    <row r="10" spans="2:3" x14ac:dyDescent="0.25">
      <c r="B10" s="88"/>
      <c r="C10" s="87" t="s">
        <v>527</v>
      </c>
    </row>
    <row r="11" spans="2:3" x14ac:dyDescent="0.25">
      <c r="B11" s="85" t="s">
        <v>619</v>
      </c>
      <c r="C11" s="87" t="s">
        <v>589</v>
      </c>
    </row>
    <row r="12" spans="2:3" x14ac:dyDescent="0.25">
      <c r="B12" s="89"/>
      <c r="C12" s="87" t="s">
        <v>591</v>
      </c>
    </row>
    <row r="13" spans="2:3" x14ac:dyDescent="0.25">
      <c r="B13" s="89"/>
      <c r="C13" s="87" t="s">
        <v>573</v>
      </c>
    </row>
    <row r="14" spans="2:3" x14ac:dyDescent="0.25">
      <c r="B14" s="89"/>
      <c r="C14" s="87" t="s">
        <v>585</v>
      </c>
    </row>
    <row r="15" spans="2:3" x14ac:dyDescent="0.25">
      <c r="B15" s="89"/>
      <c r="C15" s="87" t="s">
        <v>586</v>
      </c>
    </row>
    <row r="16" spans="2:3" x14ac:dyDescent="0.25">
      <c r="B16" s="88"/>
      <c r="C16" s="87" t="s">
        <v>524</v>
      </c>
    </row>
    <row r="17" spans="2:3" x14ac:dyDescent="0.25">
      <c r="B17" s="86" t="s">
        <v>386</v>
      </c>
      <c r="C17" s="87" t="s">
        <v>386</v>
      </c>
    </row>
    <row r="18" spans="2:3" x14ac:dyDescent="0.25">
      <c r="B18" s="86" t="s">
        <v>404</v>
      </c>
      <c r="C18" s="87" t="s">
        <v>404</v>
      </c>
    </row>
    <row r="19" spans="2:3" x14ac:dyDescent="0.25">
      <c r="B19" s="85" t="s">
        <v>613</v>
      </c>
      <c r="C19" s="90" t="s">
        <v>394</v>
      </c>
    </row>
    <row r="20" spans="2:3" x14ac:dyDescent="0.25">
      <c r="B20" s="89"/>
      <c r="C20" s="90" t="s">
        <v>401</v>
      </c>
    </row>
    <row r="21" spans="2:3" x14ac:dyDescent="0.25">
      <c r="B21" s="89"/>
      <c r="C21" s="90" t="s">
        <v>402</v>
      </c>
    </row>
    <row r="22" spans="2:3" x14ac:dyDescent="0.25">
      <c r="B22" s="89"/>
      <c r="C22" s="90" t="s">
        <v>306</v>
      </c>
    </row>
    <row r="23" spans="2:3" x14ac:dyDescent="0.25">
      <c r="B23" s="89"/>
      <c r="C23" s="90" t="s">
        <v>309</v>
      </c>
    </row>
    <row r="24" spans="2:3" x14ac:dyDescent="0.25">
      <c r="B24" s="88"/>
      <c r="C24" s="90" t="s">
        <v>307</v>
      </c>
    </row>
    <row r="25" spans="2:3" x14ac:dyDescent="0.25">
      <c r="B25" s="85" t="s">
        <v>616</v>
      </c>
      <c r="C25" s="87" t="s">
        <v>571</v>
      </c>
    </row>
    <row r="26" spans="2:3" x14ac:dyDescent="0.25">
      <c r="B26" s="89"/>
      <c r="C26" s="87" t="s">
        <v>399</v>
      </c>
    </row>
    <row r="27" spans="2:3" x14ac:dyDescent="0.25">
      <c r="B27" s="89"/>
      <c r="C27" s="87" t="s">
        <v>400</v>
      </c>
    </row>
    <row r="28" spans="2:3" x14ac:dyDescent="0.25">
      <c r="B28" s="88"/>
      <c r="C28" s="87" t="s">
        <v>398</v>
      </c>
    </row>
    <row r="29" spans="2:3" x14ac:dyDescent="0.25">
      <c r="B29" s="86" t="s">
        <v>396</v>
      </c>
      <c r="C29" s="87" t="s">
        <v>396</v>
      </c>
    </row>
    <row r="30" spans="2:3" x14ac:dyDescent="0.25">
      <c r="B30" s="86" t="s">
        <v>624</v>
      </c>
      <c r="C30" s="87" t="s">
        <v>590</v>
      </c>
    </row>
    <row r="31" spans="2:3" x14ac:dyDescent="0.25">
      <c r="B31" s="86" t="s">
        <v>623</v>
      </c>
      <c r="C31" s="87" t="s">
        <v>588</v>
      </c>
    </row>
    <row r="32" spans="2:3" x14ac:dyDescent="0.25">
      <c r="B32" s="86" t="s">
        <v>405</v>
      </c>
      <c r="C32" s="87" t="s">
        <v>405</v>
      </c>
    </row>
    <row r="33" spans="2:3" x14ac:dyDescent="0.25">
      <c r="B33" s="85" t="s">
        <v>485</v>
      </c>
      <c r="C33" s="87" t="s">
        <v>575</v>
      </c>
    </row>
    <row r="34" spans="2:3" x14ac:dyDescent="0.25">
      <c r="B34" s="89"/>
      <c r="C34" s="87" t="s">
        <v>576</v>
      </c>
    </row>
    <row r="35" spans="2:3" x14ac:dyDescent="0.25">
      <c r="B35" s="89"/>
      <c r="C35" s="87" t="s">
        <v>397</v>
      </c>
    </row>
    <row r="36" spans="2:3" x14ac:dyDescent="0.25">
      <c r="B36" s="88"/>
      <c r="C36" s="87" t="s">
        <v>348</v>
      </c>
    </row>
    <row r="37" spans="2:3" x14ac:dyDescent="0.25">
      <c r="B37" s="85" t="s">
        <v>618</v>
      </c>
      <c r="C37" s="87" t="s">
        <v>406</v>
      </c>
    </row>
    <row r="38" spans="2:3" x14ac:dyDescent="0.25">
      <c r="B38" s="89"/>
      <c r="C38" s="87" t="s">
        <v>407</v>
      </c>
    </row>
    <row r="39" spans="2:3" x14ac:dyDescent="0.25">
      <c r="B39" s="89"/>
      <c r="C39" s="87" t="s">
        <v>606</v>
      </c>
    </row>
    <row r="40" spans="2:3" x14ac:dyDescent="0.25">
      <c r="B40" s="88"/>
      <c r="C40" s="87" t="s">
        <v>584</v>
      </c>
    </row>
    <row r="41" spans="2:3" x14ac:dyDescent="0.25">
      <c r="B41" s="86" t="s">
        <v>395</v>
      </c>
      <c r="C41" s="87" t="s">
        <v>395</v>
      </c>
    </row>
    <row r="42" spans="2:3" x14ac:dyDescent="0.25">
      <c r="B42" s="85" t="s">
        <v>617</v>
      </c>
      <c r="C42" s="87" t="s">
        <v>403</v>
      </c>
    </row>
    <row r="43" spans="2:3" x14ac:dyDescent="0.25">
      <c r="B43" s="88"/>
      <c r="C43" s="87" t="s">
        <v>582</v>
      </c>
    </row>
  </sheetData>
  <conditionalFormatting sqref="B3">
    <cfRule type="duplicateValues" dxfId="22" priority="1"/>
  </conditionalFormatting>
  <conditionalFormatting sqref="B4">
    <cfRule type="duplicateValues" dxfId="21" priority="6"/>
  </conditionalFormatting>
  <conditionalFormatting sqref="B5:B7">
    <cfRule type="duplicateValues" dxfId="20" priority="2"/>
  </conditionalFormatting>
  <conditionalFormatting sqref="B8">
    <cfRule type="duplicateValues" dxfId="19" priority="3"/>
  </conditionalFormatting>
  <conditionalFormatting sqref="B23:B28">
    <cfRule type="duplicateValues" dxfId="18" priority="5"/>
  </conditionalFormatting>
  <conditionalFormatting sqref="B43">
    <cfRule type="duplicateValues" dxfId="17" priority="4"/>
  </conditionalFormatting>
  <conditionalFormatting sqref="C3">
    <cfRule type="duplicateValues" dxfId="16" priority="7"/>
  </conditionalFormatting>
  <conditionalFormatting sqref="C4">
    <cfRule type="duplicateValues" dxfId="15" priority="21"/>
  </conditionalFormatting>
  <conditionalFormatting sqref="C5:C7">
    <cfRule type="duplicateValues" dxfId="14" priority="8"/>
  </conditionalFormatting>
  <conditionalFormatting sqref="C8">
    <cfRule type="duplicateValues" dxfId="13" priority="9"/>
  </conditionalFormatting>
  <conditionalFormatting sqref="C9:C12">
    <cfRule type="duplicateValues" dxfId="12" priority="10"/>
  </conditionalFormatting>
  <conditionalFormatting sqref="C13:C14">
    <cfRule type="duplicateValues" dxfId="11" priority="11"/>
  </conditionalFormatting>
  <conditionalFormatting sqref="C15:C18">
    <cfRule type="duplicateValues" dxfId="10" priority="12"/>
  </conditionalFormatting>
  <conditionalFormatting sqref="C19">
    <cfRule type="duplicateValues" dxfId="9" priority="20"/>
  </conditionalFormatting>
  <conditionalFormatting sqref="C20">
    <cfRule type="duplicateValues" dxfId="8" priority="13"/>
  </conditionalFormatting>
  <conditionalFormatting sqref="C21:C22">
    <cfRule type="duplicateValues" dxfId="7" priority="50"/>
  </conditionalFormatting>
  <conditionalFormatting sqref="C23:C28">
    <cfRule type="duplicateValues" dxfId="6" priority="14"/>
  </conditionalFormatting>
  <conditionalFormatting sqref="C29:C34">
    <cfRule type="duplicateValues" dxfId="5" priority="15"/>
  </conditionalFormatting>
  <conditionalFormatting sqref="C35">
    <cfRule type="duplicateValues" dxfId="4" priority="16"/>
  </conditionalFormatting>
  <conditionalFormatting sqref="C36:C38">
    <cfRule type="duplicateValues" dxfId="3" priority="17"/>
  </conditionalFormatting>
  <conditionalFormatting sqref="C39:C42">
    <cfRule type="duplicateValues" dxfId="2" priority="18"/>
  </conditionalFormatting>
  <conditionalFormatting sqref="C43">
    <cfRule type="duplicateValues" dxfId="1" priority="19"/>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fitToPage="1"/>
  </sheetPr>
  <dimension ref="A2:D74"/>
  <sheetViews>
    <sheetView workbookViewId="0"/>
  </sheetViews>
  <sheetFormatPr defaultRowHeight="15" x14ac:dyDescent="0.25"/>
  <cols>
    <col min="1" max="1" width="54.7109375" customWidth="1"/>
    <col min="2" max="2" width="138.42578125" style="1" customWidth="1"/>
    <col min="3" max="3" width="38.85546875" style="1" customWidth="1"/>
  </cols>
  <sheetData>
    <row r="2" spans="1:3" s="25" customFormat="1" x14ac:dyDescent="0.25">
      <c r="A2" s="44"/>
    </row>
    <row r="3" spans="1:3" s="25" customFormat="1" x14ac:dyDescent="0.25">
      <c r="A3" s="44"/>
    </row>
    <row r="4" spans="1:3" ht="30" customHeight="1" x14ac:dyDescent="0.25">
      <c r="A4" s="77" t="s">
        <v>16</v>
      </c>
      <c r="B4" s="78" t="s">
        <v>17</v>
      </c>
      <c r="C4" s="78" t="s">
        <v>18</v>
      </c>
    </row>
    <row r="5" spans="1:3" s="3" customFormat="1" x14ac:dyDescent="0.25">
      <c r="A5" s="40" t="s">
        <v>484</v>
      </c>
      <c r="B5" s="42"/>
      <c r="C5" s="41"/>
    </row>
    <row r="6" spans="1:3" s="3" customFormat="1" ht="30" x14ac:dyDescent="0.25">
      <c r="A6" s="2" t="s">
        <v>395</v>
      </c>
      <c r="B6" s="2" t="s">
        <v>545</v>
      </c>
      <c r="C6" s="23" t="s">
        <v>415</v>
      </c>
    </row>
    <row r="7" spans="1:3" s="3" customFormat="1" ht="30.75" customHeight="1" x14ac:dyDescent="0.25">
      <c r="A7" s="2" t="s">
        <v>593</v>
      </c>
      <c r="B7" s="2" t="s">
        <v>559</v>
      </c>
      <c r="C7" s="23" t="s">
        <v>387</v>
      </c>
    </row>
    <row r="8" spans="1:3" s="3" customFormat="1" x14ac:dyDescent="0.25">
      <c r="A8" s="2" t="s">
        <v>595</v>
      </c>
      <c r="B8" s="2" t="s">
        <v>560</v>
      </c>
      <c r="C8" s="23" t="s">
        <v>387</v>
      </c>
    </row>
    <row r="9" spans="1:3" s="3" customFormat="1" x14ac:dyDescent="0.25">
      <c r="A9" s="40" t="s">
        <v>485</v>
      </c>
      <c r="B9" s="42"/>
      <c r="C9" s="42"/>
    </row>
    <row r="10" spans="1:3" s="3" customFormat="1" ht="30" x14ac:dyDescent="0.25">
      <c r="A10" s="2" t="s">
        <v>575</v>
      </c>
      <c r="B10" s="2" t="s">
        <v>546</v>
      </c>
      <c r="C10" s="23" t="s">
        <v>443</v>
      </c>
    </row>
    <row r="11" spans="1:3" s="3" customFormat="1" ht="30" x14ac:dyDescent="0.25">
      <c r="A11" s="2" t="s">
        <v>576</v>
      </c>
      <c r="B11" s="2" t="s">
        <v>547</v>
      </c>
      <c r="C11" s="23" t="s">
        <v>432</v>
      </c>
    </row>
    <row r="12" spans="1:3" s="3" customFormat="1" x14ac:dyDescent="0.25">
      <c r="A12" s="2" t="s">
        <v>397</v>
      </c>
      <c r="B12" s="2" t="s">
        <v>548</v>
      </c>
      <c r="C12" s="23" t="s">
        <v>444</v>
      </c>
    </row>
    <row r="13" spans="1:3" s="3" customFormat="1" ht="30" x14ac:dyDescent="0.25">
      <c r="A13" s="2" t="s">
        <v>577</v>
      </c>
      <c r="B13" s="2" t="s">
        <v>501</v>
      </c>
      <c r="C13" s="23" t="s">
        <v>445</v>
      </c>
    </row>
    <row r="14" spans="1:3" s="3" customFormat="1" ht="30" x14ac:dyDescent="0.25">
      <c r="A14" s="2" t="s">
        <v>348</v>
      </c>
      <c r="B14" s="2" t="s">
        <v>502</v>
      </c>
      <c r="C14" s="23" t="s">
        <v>432</v>
      </c>
    </row>
    <row r="15" spans="1:3" s="3" customFormat="1" x14ac:dyDescent="0.25">
      <c r="A15" s="40" t="s">
        <v>486</v>
      </c>
      <c r="B15" s="42"/>
      <c r="C15" s="42"/>
    </row>
    <row r="16" spans="1:3" s="3" customFormat="1" x14ac:dyDescent="0.25">
      <c r="A16" s="2" t="s">
        <v>400</v>
      </c>
      <c r="B16" s="2" t="s">
        <v>549</v>
      </c>
      <c r="C16" s="23" t="s">
        <v>446</v>
      </c>
    </row>
    <row r="17" spans="1:3" s="3" customFormat="1" ht="30" x14ac:dyDescent="0.25">
      <c r="A17" s="2" t="s">
        <v>571</v>
      </c>
      <c r="B17" s="2" t="s">
        <v>539</v>
      </c>
      <c r="C17" s="23" t="s">
        <v>447</v>
      </c>
    </row>
    <row r="18" spans="1:3" s="3" customFormat="1" x14ac:dyDescent="0.25">
      <c r="A18" s="2" t="s">
        <v>398</v>
      </c>
      <c r="B18" s="2" t="s">
        <v>550</v>
      </c>
      <c r="C18" s="69" t="s">
        <v>433</v>
      </c>
    </row>
    <row r="19" spans="1:3" s="3" customFormat="1" x14ac:dyDescent="0.25">
      <c r="A19" s="2" t="s">
        <v>399</v>
      </c>
      <c r="B19" s="2" t="s">
        <v>551</v>
      </c>
      <c r="C19" s="23" t="s">
        <v>434</v>
      </c>
    </row>
    <row r="20" spans="1:3" s="3" customFormat="1" x14ac:dyDescent="0.25">
      <c r="A20" s="2" t="s">
        <v>431</v>
      </c>
      <c r="B20" s="2" t="s">
        <v>552</v>
      </c>
      <c r="C20" s="23" t="s">
        <v>387</v>
      </c>
    </row>
    <row r="21" spans="1:3" s="3" customFormat="1" ht="30" x14ac:dyDescent="0.25">
      <c r="A21" s="2" t="s">
        <v>525</v>
      </c>
      <c r="B21" s="2" t="s">
        <v>553</v>
      </c>
      <c r="C21" s="23" t="s">
        <v>387</v>
      </c>
    </row>
    <row r="22" spans="1:3" s="3" customFormat="1" x14ac:dyDescent="0.25">
      <c r="A22" s="40" t="s">
        <v>15</v>
      </c>
      <c r="B22" s="42"/>
      <c r="C22" s="42"/>
    </row>
    <row r="23" spans="1:3" s="3" customFormat="1" ht="45" x14ac:dyDescent="0.25">
      <c r="A23" s="2" t="s">
        <v>396</v>
      </c>
      <c r="B23" s="2" t="s">
        <v>544</v>
      </c>
      <c r="C23" s="2" t="s">
        <v>435</v>
      </c>
    </row>
    <row r="24" spans="1:3" s="3" customFormat="1" ht="31.5" customHeight="1" x14ac:dyDescent="0.25">
      <c r="A24" s="2" t="s">
        <v>590</v>
      </c>
      <c r="B24" s="2" t="s">
        <v>519</v>
      </c>
      <c r="C24" s="2" t="s">
        <v>436</v>
      </c>
    </row>
    <row r="25" spans="1:3" s="3" customFormat="1" ht="45" x14ac:dyDescent="0.25">
      <c r="A25" s="2" t="s">
        <v>578</v>
      </c>
      <c r="B25" s="2" t="s">
        <v>554</v>
      </c>
      <c r="C25" s="2" t="s">
        <v>448</v>
      </c>
    </row>
    <row r="26" spans="1:3" s="3" customFormat="1" ht="30" x14ac:dyDescent="0.25">
      <c r="A26" s="2" t="s">
        <v>588</v>
      </c>
      <c r="B26" s="2" t="s">
        <v>572</v>
      </c>
      <c r="C26" s="2" t="s">
        <v>437</v>
      </c>
    </row>
    <row r="27" spans="1:3" s="3" customFormat="1" x14ac:dyDescent="0.25">
      <c r="A27" s="40" t="s">
        <v>496</v>
      </c>
      <c r="B27" s="42"/>
      <c r="C27" s="42"/>
    </row>
    <row r="28" spans="1:3" s="3" customFormat="1" ht="60" x14ac:dyDescent="0.25">
      <c r="A28" s="2" t="s">
        <v>597</v>
      </c>
      <c r="B28" s="2" t="s">
        <v>563</v>
      </c>
      <c r="C28" s="2" t="s">
        <v>569</v>
      </c>
    </row>
    <row r="29" spans="1:3" s="3" customFormat="1" ht="30" x14ac:dyDescent="0.25">
      <c r="A29" s="2" t="s">
        <v>579</v>
      </c>
      <c r="B29" s="2" t="s">
        <v>564</v>
      </c>
      <c r="C29" s="2" t="s">
        <v>570</v>
      </c>
    </row>
    <row r="30" spans="1:3" s="3" customFormat="1" ht="30" x14ac:dyDescent="0.25">
      <c r="A30" s="2" t="s">
        <v>598</v>
      </c>
      <c r="B30" s="2" t="s">
        <v>566</v>
      </c>
      <c r="C30" s="2" t="s">
        <v>387</v>
      </c>
    </row>
    <row r="31" spans="1:3" s="3" customFormat="1" x14ac:dyDescent="0.25">
      <c r="A31" s="2" t="s">
        <v>580</v>
      </c>
      <c r="B31" s="2" t="s">
        <v>567</v>
      </c>
      <c r="C31" s="2" t="s">
        <v>387</v>
      </c>
    </row>
    <row r="32" spans="1:3" s="3" customFormat="1" x14ac:dyDescent="0.25">
      <c r="A32" s="2" t="s">
        <v>581</v>
      </c>
      <c r="B32" s="2" t="s">
        <v>568</v>
      </c>
      <c r="C32" s="2" t="s">
        <v>387</v>
      </c>
    </row>
    <row r="33" spans="1:4" s="3" customFormat="1" x14ac:dyDescent="0.25">
      <c r="A33" s="2" t="s">
        <v>600</v>
      </c>
      <c r="B33" s="2" t="s">
        <v>565</v>
      </c>
      <c r="C33" s="2" t="s">
        <v>387</v>
      </c>
    </row>
    <row r="34" spans="1:4" s="3" customFormat="1" x14ac:dyDescent="0.25">
      <c r="A34" s="40" t="s">
        <v>487</v>
      </c>
      <c r="B34" s="42"/>
      <c r="C34" s="42"/>
    </row>
    <row r="35" spans="1:4" s="3" customFormat="1" ht="45" x14ac:dyDescent="0.25">
      <c r="A35" s="2" t="s">
        <v>394</v>
      </c>
      <c r="B35" s="2" t="s">
        <v>601</v>
      </c>
      <c r="C35" s="23" t="s">
        <v>602</v>
      </c>
    </row>
    <row r="36" spans="1:4" s="3" customFormat="1" ht="33" customHeight="1" x14ac:dyDescent="0.25">
      <c r="A36" s="2" t="s">
        <v>401</v>
      </c>
      <c r="B36" s="2" t="s">
        <v>505</v>
      </c>
      <c r="C36" s="23" t="s">
        <v>438</v>
      </c>
    </row>
    <row r="37" spans="1:4" s="3" customFormat="1" ht="53.25" customHeight="1" x14ac:dyDescent="0.25">
      <c r="A37" s="2" t="s">
        <v>402</v>
      </c>
      <c r="B37" s="2" t="s">
        <v>506</v>
      </c>
      <c r="C37" s="23" t="s">
        <v>439</v>
      </c>
    </row>
    <row r="38" spans="1:4" s="3" customFormat="1" x14ac:dyDescent="0.25">
      <c r="A38" s="2" t="s">
        <v>306</v>
      </c>
      <c r="B38" s="2" t="s">
        <v>555</v>
      </c>
      <c r="C38" s="23" t="s">
        <v>440</v>
      </c>
    </row>
    <row r="39" spans="1:4" s="3" customFormat="1" ht="45" x14ac:dyDescent="0.25">
      <c r="A39" s="2" t="s">
        <v>309</v>
      </c>
      <c r="B39" s="2" t="s">
        <v>556</v>
      </c>
      <c r="C39" s="23" t="s">
        <v>441</v>
      </c>
    </row>
    <row r="40" spans="1:4" s="3" customFormat="1" ht="30" x14ac:dyDescent="0.25">
      <c r="A40" s="2" t="s">
        <v>307</v>
      </c>
      <c r="B40" s="2" t="s">
        <v>509</v>
      </c>
      <c r="C40" s="70" t="s">
        <v>442</v>
      </c>
    </row>
    <row r="41" spans="1:4" s="3" customFormat="1" x14ac:dyDescent="0.25">
      <c r="A41" s="40" t="s">
        <v>488</v>
      </c>
      <c r="B41" s="42"/>
      <c r="C41" s="42"/>
    </row>
    <row r="42" spans="1:4" s="3" customFormat="1" ht="60" x14ac:dyDescent="0.25">
      <c r="A42" s="2" t="s">
        <v>403</v>
      </c>
      <c r="B42" s="2" t="s">
        <v>504</v>
      </c>
      <c r="C42" s="70" t="s">
        <v>449</v>
      </c>
    </row>
    <row r="43" spans="1:4" s="3" customFormat="1" ht="99.75" customHeight="1" x14ac:dyDescent="0.25">
      <c r="A43" s="2" t="s">
        <v>582</v>
      </c>
      <c r="B43" s="2" t="s">
        <v>557</v>
      </c>
      <c r="C43" s="23" t="s">
        <v>450</v>
      </c>
    </row>
    <row r="44" spans="1:4" x14ac:dyDescent="0.25">
      <c r="A44" s="40" t="s">
        <v>489</v>
      </c>
      <c r="B44" s="42"/>
      <c r="C44" s="42"/>
      <c r="D44" s="3"/>
    </row>
    <row r="45" spans="1:4" ht="30" x14ac:dyDescent="0.25">
      <c r="A45" s="2" t="s">
        <v>386</v>
      </c>
      <c r="B45" s="2" t="s">
        <v>513</v>
      </c>
      <c r="C45" s="1" t="s">
        <v>451</v>
      </c>
      <c r="D45" s="3"/>
    </row>
    <row r="46" spans="1:4" ht="31.5" customHeight="1" x14ac:dyDescent="0.25">
      <c r="A46" s="2" t="s">
        <v>404</v>
      </c>
      <c r="B46" s="2" t="s">
        <v>558</v>
      </c>
      <c r="C46" s="2" t="s">
        <v>430</v>
      </c>
      <c r="D46" s="3"/>
    </row>
    <row r="47" spans="1:4" ht="45" x14ac:dyDescent="0.25">
      <c r="A47" s="2" t="s">
        <v>34</v>
      </c>
      <c r="B47" s="2" t="s">
        <v>512</v>
      </c>
      <c r="C47" s="2" t="s">
        <v>452</v>
      </c>
      <c r="D47" s="3"/>
    </row>
    <row r="48" spans="1:4" x14ac:dyDescent="0.25">
      <c r="A48" s="2" t="s">
        <v>511</v>
      </c>
      <c r="B48" s="2" t="s">
        <v>514</v>
      </c>
      <c r="C48" s="1" t="s">
        <v>387</v>
      </c>
      <c r="D48" s="3"/>
    </row>
    <row r="49" spans="1:4" x14ac:dyDescent="0.25">
      <c r="A49" s="40" t="s">
        <v>490</v>
      </c>
      <c r="B49" s="40"/>
      <c r="C49" s="42"/>
      <c r="D49" s="3"/>
    </row>
    <row r="50" spans="1:4" ht="45" x14ac:dyDescent="0.25">
      <c r="A50" s="2" t="s">
        <v>405</v>
      </c>
      <c r="B50" s="2" t="s">
        <v>515</v>
      </c>
      <c r="C50" s="2" t="s">
        <v>453</v>
      </c>
      <c r="D50" s="3"/>
    </row>
    <row r="51" spans="1:4" x14ac:dyDescent="0.25">
      <c r="A51" s="40" t="s">
        <v>491</v>
      </c>
      <c r="B51" s="40"/>
      <c r="C51" s="42"/>
      <c r="D51" s="3"/>
    </row>
    <row r="52" spans="1:4" x14ac:dyDescent="0.25">
      <c r="A52" s="2" t="s">
        <v>406</v>
      </c>
      <c r="B52" s="2" t="s">
        <v>516</v>
      </c>
      <c r="C52" s="1" t="s">
        <v>429</v>
      </c>
      <c r="D52" s="3"/>
    </row>
    <row r="53" spans="1:4" ht="30" x14ac:dyDescent="0.25">
      <c r="A53" s="2" t="s">
        <v>407</v>
      </c>
      <c r="B53" s="2" t="s">
        <v>517</v>
      </c>
      <c r="C53" s="2" t="s">
        <v>454</v>
      </c>
      <c r="D53" s="3"/>
    </row>
    <row r="54" spans="1:4" ht="45" x14ac:dyDescent="0.25">
      <c r="A54" s="2" t="s">
        <v>583</v>
      </c>
      <c r="B54" s="2" t="s">
        <v>413</v>
      </c>
      <c r="C54" s="2" t="s">
        <v>455</v>
      </c>
      <c r="D54" s="3"/>
    </row>
    <row r="55" spans="1:4" ht="30" x14ac:dyDescent="0.25">
      <c r="A55" s="2" t="s">
        <v>584</v>
      </c>
      <c r="B55" s="2" t="s">
        <v>414</v>
      </c>
      <c r="C55" s="2" t="s">
        <v>456</v>
      </c>
      <c r="D55" s="3"/>
    </row>
    <row r="56" spans="1:4" x14ac:dyDescent="0.25">
      <c r="A56" s="40" t="s">
        <v>492</v>
      </c>
      <c r="B56" s="40"/>
      <c r="C56" s="42"/>
      <c r="D56" s="3"/>
    </row>
    <row r="57" spans="1:4" ht="30" x14ac:dyDescent="0.25">
      <c r="A57" s="2" t="s">
        <v>589</v>
      </c>
      <c r="B57" s="2" t="s">
        <v>518</v>
      </c>
      <c r="C57" s="2" t="s">
        <v>423</v>
      </c>
      <c r="D57" s="3"/>
    </row>
    <row r="58" spans="1:4" ht="30" x14ac:dyDescent="0.25">
      <c r="A58" s="2" t="s">
        <v>591</v>
      </c>
      <c r="B58" s="2" t="s">
        <v>520</v>
      </c>
      <c r="C58" s="2" t="s">
        <v>427</v>
      </c>
      <c r="D58" s="3"/>
    </row>
    <row r="59" spans="1:4" x14ac:dyDescent="0.25">
      <c r="A59" s="2" t="s">
        <v>573</v>
      </c>
      <c r="B59" s="1" t="s">
        <v>521</v>
      </c>
      <c r="C59" s="2" t="s">
        <v>424</v>
      </c>
      <c r="D59" s="3"/>
    </row>
    <row r="60" spans="1:4" ht="32.25" customHeight="1" x14ac:dyDescent="0.25">
      <c r="A60" s="2" t="s">
        <v>585</v>
      </c>
      <c r="B60" s="1" t="s">
        <v>522</v>
      </c>
      <c r="C60" s="2" t="s">
        <v>425</v>
      </c>
      <c r="D60" s="3"/>
    </row>
    <row r="61" spans="1:4" ht="30" x14ac:dyDescent="0.25">
      <c r="A61" s="2" t="s">
        <v>586</v>
      </c>
      <c r="B61" s="1" t="s">
        <v>523</v>
      </c>
      <c r="C61" s="2" t="s">
        <v>426</v>
      </c>
      <c r="D61" s="3"/>
    </row>
    <row r="62" spans="1:4" ht="30" x14ac:dyDescent="0.25">
      <c r="A62" s="2" t="s">
        <v>524</v>
      </c>
      <c r="B62" s="2" t="s">
        <v>528</v>
      </c>
      <c r="C62" s="2" t="s">
        <v>428</v>
      </c>
      <c r="D62" s="3"/>
    </row>
    <row r="63" spans="1:4" x14ac:dyDescent="0.25">
      <c r="A63" s="40" t="s">
        <v>493</v>
      </c>
      <c r="B63" s="40"/>
      <c r="C63" s="42"/>
      <c r="D63" s="3"/>
    </row>
    <row r="64" spans="1:4" ht="35.25" customHeight="1" x14ac:dyDescent="0.25">
      <c r="A64" s="2" t="s">
        <v>574</v>
      </c>
      <c r="B64" s="2" t="s">
        <v>529</v>
      </c>
      <c r="C64" s="2" t="s">
        <v>457</v>
      </c>
      <c r="D64" s="3"/>
    </row>
    <row r="65" spans="1:4" x14ac:dyDescent="0.25">
      <c r="A65" s="2" t="s">
        <v>408</v>
      </c>
      <c r="B65" s="2" t="s">
        <v>530</v>
      </c>
      <c r="C65" s="1" t="s">
        <v>422</v>
      </c>
      <c r="D65" s="3"/>
    </row>
    <row r="66" spans="1:4" x14ac:dyDescent="0.25">
      <c r="A66" s="2" t="s">
        <v>409</v>
      </c>
      <c r="B66" s="2" t="s">
        <v>531</v>
      </c>
      <c r="C66" s="1" t="s">
        <v>421</v>
      </c>
      <c r="D66" s="3"/>
    </row>
    <row r="67" spans="1:4" ht="30" x14ac:dyDescent="0.25">
      <c r="A67" s="2" t="s">
        <v>410</v>
      </c>
      <c r="B67" s="2" t="s">
        <v>532</v>
      </c>
      <c r="C67" s="2" t="s">
        <v>458</v>
      </c>
      <c r="D67" s="3"/>
    </row>
    <row r="68" spans="1:4" ht="30" x14ac:dyDescent="0.25">
      <c r="A68" s="2" t="s">
        <v>526</v>
      </c>
      <c r="B68" s="2" t="s">
        <v>533</v>
      </c>
      <c r="C68" s="2" t="s">
        <v>420</v>
      </c>
      <c r="D68" s="3"/>
    </row>
    <row r="69" spans="1:4" x14ac:dyDescent="0.25">
      <c r="A69" s="40" t="s">
        <v>494</v>
      </c>
      <c r="B69" s="40"/>
      <c r="C69" s="42"/>
      <c r="D69" s="3"/>
    </row>
    <row r="70" spans="1:4" ht="32.25" customHeight="1" x14ac:dyDescent="0.25">
      <c r="A70" s="2" t="s">
        <v>411</v>
      </c>
      <c r="B70" s="2" t="s">
        <v>534</v>
      </c>
      <c r="C70" s="2" t="s">
        <v>418</v>
      </c>
      <c r="D70" s="3"/>
    </row>
    <row r="71" spans="1:4" x14ac:dyDescent="0.25">
      <c r="A71" s="2" t="s">
        <v>587</v>
      </c>
      <c r="B71" s="2" t="s">
        <v>535</v>
      </c>
      <c r="C71" s="2" t="s">
        <v>419</v>
      </c>
      <c r="D71" s="3"/>
    </row>
    <row r="72" spans="1:4" x14ac:dyDescent="0.25">
      <c r="A72" s="2" t="s">
        <v>527</v>
      </c>
      <c r="B72" s="2" t="s">
        <v>536</v>
      </c>
      <c r="C72" s="2" t="s">
        <v>417</v>
      </c>
      <c r="D72" s="3"/>
    </row>
    <row r="73" spans="1:4" x14ac:dyDescent="0.25">
      <c r="A73" s="40" t="s">
        <v>495</v>
      </c>
      <c r="B73" s="40"/>
      <c r="C73" s="42"/>
      <c r="D73" s="3"/>
    </row>
    <row r="74" spans="1:4" x14ac:dyDescent="0.25">
      <c r="A74" s="2" t="s">
        <v>412</v>
      </c>
      <c r="B74" s="2" t="s">
        <v>537</v>
      </c>
      <c r="C74" s="2" t="s">
        <v>416</v>
      </c>
      <c r="D74" s="3"/>
    </row>
  </sheetData>
  <autoFilter ref="A4:C74" xr:uid="{00000000-0009-0000-0000-000007000000}"/>
  <conditionalFormatting sqref="A59">
    <cfRule type="duplicateValues" dxfId="0" priority="1"/>
  </conditionalFormatting>
  <pageMargins left="0.25" right="0.25" top="0.75" bottom="0.75" header="0.3" footer="0.3"/>
  <pageSetup paperSize="9" scale="60" fitToHeight="0"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H35"/>
  <sheetViews>
    <sheetView workbookViewId="0">
      <selection sqref="A1:B1"/>
    </sheetView>
  </sheetViews>
  <sheetFormatPr defaultRowHeight="15" x14ac:dyDescent="0.25"/>
  <cols>
    <col min="1" max="1" width="4.85546875" style="1" customWidth="1"/>
    <col min="2" max="2" width="33.85546875" style="1" bestFit="1" customWidth="1"/>
    <col min="3" max="4" width="50.7109375" style="2" customWidth="1"/>
    <col min="5" max="5" width="60.7109375" style="1" customWidth="1"/>
    <col min="6" max="6" width="44.140625" style="1" customWidth="1"/>
    <col min="7" max="7" width="29.140625" style="1" customWidth="1"/>
    <col min="8" max="8" width="32.85546875" style="1" customWidth="1"/>
    <col min="9" max="16384" width="9.140625" style="1"/>
  </cols>
  <sheetData>
    <row r="1" spans="1:8" x14ac:dyDescent="0.25">
      <c r="A1" s="171" t="s">
        <v>118</v>
      </c>
      <c r="B1" s="172"/>
      <c r="C1" s="17" t="s">
        <v>119</v>
      </c>
      <c r="D1" s="17" t="s">
        <v>120</v>
      </c>
      <c r="E1" s="17" t="s">
        <v>121</v>
      </c>
      <c r="F1" s="17" t="s">
        <v>122</v>
      </c>
      <c r="G1" s="18" t="s">
        <v>123</v>
      </c>
      <c r="H1" s="19" t="s">
        <v>124</v>
      </c>
    </row>
    <row r="2" spans="1:8" x14ac:dyDescent="0.25">
      <c r="A2" s="20" t="s">
        <v>125</v>
      </c>
      <c r="B2" s="20"/>
      <c r="C2" s="20"/>
      <c r="D2" s="20"/>
      <c r="E2" s="20"/>
      <c r="F2" s="20"/>
      <c r="G2" s="20"/>
      <c r="H2" s="20"/>
    </row>
    <row r="3" spans="1:8" ht="30" x14ac:dyDescent="0.25">
      <c r="B3" s="1" t="s">
        <v>20</v>
      </c>
      <c r="C3" s="2" t="s">
        <v>126</v>
      </c>
      <c r="D3" s="2" t="s">
        <v>127</v>
      </c>
      <c r="E3" s="1" t="s">
        <v>128</v>
      </c>
      <c r="F3" s="1" t="s">
        <v>129</v>
      </c>
      <c r="G3" s="1" t="s">
        <v>130</v>
      </c>
      <c r="H3" s="1" t="s">
        <v>131</v>
      </c>
    </row>
    <row r="4" spans="1:8" ht="45" x14ac:dyDescent="0.25">
      <c r="B4" s="1" t="s">
        <v>132</v>
      </c>
      <c r="C4" s="2" t="s">
        <v>133</v>
      </c>
      <c r="D4" s="2" t="s">
        <v>134</v>
      </c>
      <c r="E4" s="1" t="s">
        <v>128</v>
      </c>
      <c r="F4" s="1" t="s">
        <v>135</v>
      </c>
      <c r="G4" s="21" t="s">
        <v>136</v>
      </c>
      <c r="H4" s="21" t="s">
        <v>137</v>
      </c>
    </row>
    <row r="5" spans="1:8" ht="30" x14ac:dyDescent="0.25">
      <c r="B5" s="1" t="s">
        <v>138</v>
      </c>
      <c r="C5" s="2" t="s">
        <v>139</v>
      </c>
      <c r="D5" s="2" t="s">
        <v>134</v>
      </c>
      <c r="E5" s="1" t="s">
        <v>140</v>
      </c>
      <c r="F5" s="1" t="s">
        <v>135</v>
      </c>
      <c r="G5" s="1" t="s">
        <v>141</v>
      </c>
      <c r="H5" s="1" t="s">
        <v>28</v>
      </c>
    </row>
    <row r="6" spans="1:8" ht="30" x14ac:dyDescent="0.25">
      <c r="B6" s="1" t="s">
        <v>142</v>
      </c>
      <c r="C6" s="2" t="s">
        <v>143</v>
      </c>
      <c r="D6" s="2" t="s">
        <v>134</v>
      </c>
      <c r="E6" s="1" t="s">
        <v>128</v>
      </c>
      <c r="F6" s="1" t="s">
        <v>135</v>
      </c>
      <c r="G6" s="1" t="s">
        <v>144</v>
      </c>
      <c r="H6" s="1" t="s">
        <v>145</v>
      </c>
    </row>
    <row r="7" spans="1:8" ht="60" x14ac:dyDescent="0.25">
      <c r="B7" s="1" t="s">
        <v>146</v>
      </c>
      <c r="C7" s="2" t="s">
        <v>147</v>
      </c>
      <c r="D7" s="2" t="s">
        <v>134</v>
      </c>
      <c r="E7" s="1" t="s">
        <v>148</v>
      </c>
      <c r="F7" s="1" t="s">
        <v>135</v>
      </c>
      <c r="G7" s="1" t="s">
        <v>141</v>
      </c>
      <c r="H7" s="1" t="s">
        <v>28</v>
      </c>
    </row>
    <row r="8" spans="1:8" ht="45" x14ac:dyDescent="0.25">
      <c r="B8" s="1" t="s">
        <v>149</v>
      </c>
      <c r="C8" s="2" t="s">
        <v>150</v>
      </c>
      <c r="D8" s="2" t="s">
        <v>134</v>
      </c>
      <c r="E8" s="1" t="s">
        <v>128</v>
      </c>
      <c r="F8" s="1" t="s">
        <v>135</v>
      </c>
      <c r="G8" s="1" t="s">
        <v>141</v>
      </c>
      <c r="H8" s="1" t="s">
        <v>28</v>
      </c>
    </row>
    <row r="9" spans="1:8" ht="30" x14ac:dyDescent="0.25">
      <c r="B9" s="1" t="s">
        <v>151</v>
      </c>
      <c r="C9" s="2" t="s">
        <v>152</v>
      </c>
      <c r="D9" s="2" t="s">
        <v>134</v>
      </c>
      <c r="E9" s="1" t="s">
        <v>153</v>
      </c>
      <c r="F9" s="1" t="s">
        <v>135</v>
      </c>
      <c r="G9" s="1" t="s">
        <v>144</v>
      </c>
      <c r="H9" s="1" t="s">
        <v>145</v>
      </c>
    </row>
    <row r="10" spans="1:8" ht="30" x14ac:dyDescent="0.25">
      <c r="B10" s="1" t="s">
        <v>154</v>
      </c>
      <c r="C10" s="2" t="s">
        <v>155</v>
      </c>
      <c r="D10" s="2" t="s">
        <v>156</v>
      </c>
      <c r="E10" s="1" t="s">
        <v>128</v>
      </c>
      <c r="F10" s="1" t="s">
        <v>157</v>
      </c>
      <c r="G10" s="1" t="s">
        <v>158</v>
      </c>
      <c r="H10" s="1" t="s">
        <v>159</v>
      </c>
    </row>
    <row r="12" spans="1:8" x14ac:dyDescent="0.25">
      <c r="A12" s="20" t="s">
        <v>160</v>
      </c>
      <c r="B12" s="20"/>
      <c r="C12" s="20"/>
      <c r="D12" s="20"/>
      <c r="E12" s="20"/>
      <c r="F12" s="20"/>
      <c r="G12" s="20"/>
      <c r="H12" s="20"/>
    </row>
    <row r="13" spans="1:8" ht="60" x14ac:dyDescent="0.25">
      <c r="B13" s="1" t="s">
        <v>87</v>
      </c>
      <c r="C13" s="2" t="s">
        <v>161</v>
      </c>
      <c r="D13" s="2" t="s">
        <v>162</v>
      </c>
      <c r="E13" s="1" t="s">
        <v>163</v>
      </c>
      <c r="F13" s="1" t="s">
        <v>164</v>
      </c>
      <c r="G13" s="1" t="s">
        <v>141</v>
      </c>
      <c r="H13" s="1" t="s">
        <v>28</v>
      </c>
    </row>
    <row r="14" spans="1:8" ht="60" x14ac:dyDescent="0.25">
      <c r="B14" s="1" t="s">
        <v>165</v>
      </c>
      <c r="C14" s="2" t="s">
        <v>166</v>
      </c>
      <c r="D14" s="2" t="s">
        <v>167</v>
      </c>
      <c r="E14" s="1" t="s">
        <v>168</v>
      </c>
      <c r="F14" s="2" t="s">
        <v>169</v>
      </c>
      <c r="G14" s="1" t="s">
        <v>141</v>
      </c>
      <c r="H14" s="1" t="s">
        <v>28</v>
      </c>
    </row>
    <row r="15" spans="1:8" ht="30" x14ac:dyDescent="0.25">
      <c r="B15" s="1" t="s">
        <v>170</v>
      </c>
      <c r="C15" s="2" t="s">
        <v>171</v>
      </c>
      <c r="D15" s="2" t="s">
        <v>172</v>
      </c>
      <c r="E15" s="1" t="s">
        <v>55</v>
      </c>
      <c r="F15" s="1" t="s">
        <v>173</v>
      </c>
      <c r="G15" s="1" t="s">
        <v>141</v>
      </c>
      <c r="H15" s="1" t="s">
        <v>28</v>
      </c>
    </row>
    <row r="16" spans="1:8" ht="30" x14ac:dyDescent="0.25">
      <c r="B16" s="1" t="s">
        <v>46</v>
      </c>
      <c r="C16" s="2" t="s">
        <v>174</v>
      </c>
      <c r="D16" s="2" t="s">
        <v>175</v>
      </c>
      <c r="E16" s="1" t="s">
        <v>176</v>
      </c>
      <c r="F16" s="1" t="s">
        <v>173</v>
      </c>
      <c r="G16" s="1" t="s">
        <v>141</v>
      </c>
      <c r="H16" s="1" t="s">
        <v>28</v>
      </c>
    </row>
    <row r="18" spans="1:8" x14ac:dyDescent="0.25">
      <c r="A18" s="20" t="s">
        <v>177</v>
      </c>
      <c r="B18" s="20"/>
      <c r="C18" s="20"/>
      <c r="D18" s="20"/>
      <c r="E18" s="20"/>
      <c r="F18" s="20"/>
      <c r="G18" s="20"/>
      <c r="H18" s="20"/>
    </row>
    <row r="19" spans="1:8" ht="30" x14ac:dyDescent="0.25">
      <c r="B19" s="21" t="s">
        <v>178</v>
      </c>
      <c r="C19" s="2" t="s">
        <v>179</v>
      </c>
      <c r="D19" s="2" t="s">
        <v>180</v>
      </c>
      <c r="E19" s="1" t="s">
        <v>181</v>
      </c>
      <c r="F19" s="1" t="s">
        <v>182</v>
      </c>
      <c r="G19" s="1" t="s">
        <v>141</v>
      </c>
      <c r="H19" s="1" t="s">
        <v>28</v>
      </c>
    </row>
    <row r="21" spans="1:8" x14ac:dyDescent="0.25">
      <c r="A21" s="20" t="s">
        <v>183</v>
      </c>
      <c r="B21" s="20"/>
      <c r="C21" s="20"/>
      <c r="D21" s="20"/>
      <c r="E21" s="20"/>
      <c r="F21" s="20"/>
      <c r="G21" s="20"/>
      <c r="H21" s="20"/>
    </row>
    <row r="22" spans="1:8" ht="45" x14ac:dyDescent="0.25">
      <c r="B22" s="21" t="s">
        <v>184</v>
      </c>
      <c r="C22" s="2" t="s">
        <v>185</v>
      </c>
      <c r="D22" s="2" t="s">
        <v>186</v>
      </c>
      <c r="E22" s="1" t="s">
        <v>12</v>
      </c>
      <c r="F22" s="1" t="s">
        <v>187</v>
      </c>
      <c r="G22" s="1" t="s">
        <v>188</v>
      </c>
      <c r="H22" s="1" t="s">
        <v>189</v>
      </c>
    </row>
    <row r="23" spans="1:8" ht="45" x14ac:dyDescent="0.25">
      <c r="B23" s="1" t="s">
        <v>190</v>
      </c>
      <c r="C23" s="2" t="s">
        <v>191</v>
      </c>
      <c r="D23" s="2" t="s">
        <v>192</v>
      </c>
      <c r="E23" s="1" t="s">
        <v>55</v>
      </c>
      <c r="F23" s="1" t="s">
        <v>193</v>
      </c>
      <c r="G23" s="1" t="s">
        <v>194</v>
      </c>
      <c r="H23" s="1" t="s">
        <v>189</v>
      </c>
    </row>
    <row r="24" spans="1:8" ht="30" x14ac:dyDescent="0.25">
      <c r="B24" s="1" t="s">
        <v>195</v>
      </c>
      <c r="C24" s="2" t="s">
        <v>196</v>
      </c>
      <c r="D24" s="2" t="s">
        <v>197</v>
      </c>
      <c r="E24" s="1" t="s">
        <v>198</v>
      </c>
      <c r="F24" s="1" t="s">
        <v>135</v>
      </c>
      <c r="G24" s="1" t="s">
        <v>194</v>
      </c>
      <c r="H24" s="1" t="s">
        <v>189</v>
      </c>
    </row>
    <row r="25" spans="1:8" ht="45" x14ac:dyDescent="0.25">
      <c r="B25" s="21" t="s">
        <v>34</v>
      </c>
      <c r="C25" s="2" t="s">
        <v>199</v>
      </c>
      <c r="D25" s="2" t="s">
        <v>200</v>
      </c>
      <c r="E25" s="1" t="s">
        <v>201</v>
      </c>
      <c r="F25" s="1" t="s">
        <v>182</v>
      </c>
      <c r="G25" s="2" t="s">
        <v>202</v>
      </c>
      <c r="H25" s="2" t="s">
        <v>203</v>
      </c>
    </row>
    <row r="27" spans="1:8" x14ac:dyDescent="0.25">
      <c r="A27" s="20" t="s">
        <v>204</v>
      </c>
      <c r="B27" s="20"/>
      <c r="C27" s="20"/>
      <c r="D27" s="20"/>
      <c r="E27" s="20"/>
      <c r="F27" s="20"/>
      <c r="G27" s="20"/>
      <c r="H27" s="20"/>
    </row>
    <row r="28" spans="1:8" ht="30" x14ac:dyDescent="0.25">
      <c r="B28" s="21" t="s">
        <v>60</v>
      </c>
      <c r="C28" s="2" t="s">
        <v>205</v>
      </c>
      <c r="D28" s="2" t="s">
        <v>206</v>
      </c>
      <c r="E28" s="1" t="s">
        <v>207</v>
      </c>
      <c r="F28" s="1" t="s">
        <v>208</v>
      </c>
      <c r="G28" s="1" t="s">
        <v>141</v>
      </c>
      <c r="H28" s="1" t="s">
        <v>28</v>
      </c>
    </row>
    <row r="29" spans="1:8" ht="30" x14ac:dyDescent="0.25">
      <c r="B29" s="1" t="s">
        <v>115</v>
      </c>
      <c r="C29" s="2" t="s">
        <v>209</v>
      </c>
      <c r="D29" s="2" t="s">
        <v>210</v>
      </c>
      <c r="E29" s="1" t="s">
        <v>113</v>
      </c>
      <c r="F29" s="1" t="s">
        <v>211</v>
      </c>
      <c r="G29" s="1" t="s">
        <v>212</v>
      </c>
      <c r="H29" s="1" t="s">
        <v>213</v>
      </c>
    </row>
    <row r="30" spans="1:8" ht="30" x14ac:dyDescent="0.25">
      <c r="B30" s="1" t="s">
        <v>73</v>
      </c>
      <c r="C30" s="2" t="s">
        <v>214</v>
      </c>
      <c r="D30" s="2" t="s">
        <v>215</v>
      </c>
      <c r="E30" s="1" t="s">
        <v>71</v>
      </c>
      <c r="F30" s="1" t="s">
        <v>216</v>
      </c>
      <c r="G30" s="1" t="s">
        <v>141</v>
      </c>
      <c r="H30" s="1" t="s">
        <v>28</v>
      </c>
    </row>
    <row r="31" spans="1:8" ht="30" x14ac:dyDescent="0.25">
      <c r="B31" s="1" t="s">
        <v>217</v>
      </c>
      <c r="C31" s="2" t="s">
        <v>218</v>
      </c>
      <c r="D31" s="2" t="s">
        <v>219</v>
      </c>
      <c r="E31" s="1" t="s">
        <v>220</v>
      </c>
      <c r="F31" s="1" t="s">
        <v>221</v>
      </c>
      <c r="G31" s="1" t="s">
        <v>141</v>
      </c>
      <c r="H31" s="1" t="s">
        <v>28</v>
      </c>
    </row>
    <row r="33" spans="1:8" x14ac:dyDescent="0.25">
      <c r="A33" s="173" t="s">
        <v>222</v>
      </c>
      <c r="B33" s="174"/>
      <c r="C33" s="17" t="s">
        <v>119</v>
      </c>
      <c r="D33" s="17" t="s">
        <v>120</v>
      </c>
      <c r="E33" s="17" t="s">
        <v>121</v>
      </c>
      <c r="F33" s="17" t="s">
        <v>122</v>
      </c>
      <c r="G33" s="18" t="s">
        <v>223</v>
      </c>
      <c r="H33" s="19" t="s">
        <v>124</v>
      </c>
    </row>
    <row r="34" spans="1:8" ht="45" x14ac:dyDescent="0.25">
      <c r="B34" s="1" t="s">
        <v>224</v>
      </c>
      <c r="C34" s="2" t="s">
        <v>225</v>
      </c>
      <c r="D34" s="2" t="s">
        <v>226</v>
      </c>
      <c r="E34" s="1" t="s">
        <v>227</v>
      </c>
      <c r="F34" s="1" t="s">
        <v>228</v>
      </c>
      <c r="G34" s="1" t="s">
        <v>229</v>
      </c>
      <c r="H34" s="1" t="s">
        <v>230</v>
      </c>
    </row>
    <row r="35" spans="1:8" ht="45" x14ac:dyDescent="0.25">
      <c r="B35" s="1" t="s">
        <v>231</v>
      </c>
      <c r="C35" s="2" t="s">
        <v>232</v>
      </c>
      <c r="D35" s="2" t="s">
        <v>233</v>
      </c>
      <c r="E35" s="1" t="s">
        <v>227</v>
      </c>
      <c r="F35" s="1" t="s">
        <v>234</v>
      </c>
      <c r="G35" s="1" t="s">
        <v>229</v>
      </c>
      <c r="H35" s="1" t="s">
        <v>230</v>
      </c>
    </row>
  </sheetData>
  <mergeCells count="2">
    <mergeCell ref="A1:B1"/>
    <mergeCell ref="A33:B33"/>
  </mergeCells>
  <pageMargins left="0.7" right="0.7" top="0.75" bottom="0.75" header="0.3" footer="0.3"/>
  <pageSetup paperSize="9" orientation="portrait" verticalDpi="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rgb="FFC00000"/>
  </sheetPr>
  <dimension ref="A1:P24"/>
  <sheetViews>
    <sheetView workbookViewId="0"/>
  </sheetViews>
  <sheetFormatPr defaultColWidth="9.140625" defaultRowHeight="15" x14ac:dyDescent="0.25"/>
  <cols>
    <col min="1" max="1" width="9.140625" customWidth="1"/>
    <col min="2" max="2" width="10.7109375" customWidth="1"/>
    <col min="3" max="3" width="24" customWidth="1"/>
    <col min="4" max="4" width="47.85546875" customWidth="1"/>
    <col min="5" max="5" width="52.7109375" customWidth="1"/>
    <col min="6" max="7" width="45.85546875" customWidth="1"/>
    <col min="8" max="12" width="20.7109375" customWidth="1"/>
    <col min="13" max="13" width="16" customWidth="1"/>
    <col min="14" max="14" width="21.7109375" customWidth="1"/>
    <col min="15" max="15" width="9.140625" customWidth="1"/>
  </cols>
  <sheetData>
    <row r="1" spans="1:16" s="25" customFormat="1" x14ac:dyDescent="0.25">
      <c r="A1"/>
    </row>
    <row r="2" spans="1:16" s="25" customFormat="1" x14ac:dyDescent="0.25">
      <c r="A2"/>
      <c r="B2" s="26" t="s">
        <v>278</v>
      </c>
      <c r="C2" s="27"/>
      <c r="D2" s="28" t="s">
        <v>279</v>
      </c>
      <c r="E2" s="29"/>
      <c r="F2" s="30"/>
      <c r="G2" s="30"/>
      <c r="H2" s="30"/>
      <c r="I2" s="30"/>
      <c r="J2" s="30"/>
      <c r="K2" s="30"/>
      <c r="L2" s="31"/>
    </row>
    <row r="3" spans="1:16" s="25" customFormat="1" ht="15" customHeight="1" x14ac:dyDescent="0.25">
      <c r="A3"/>
      <c r="B3" s="32" t="s">
        <v>280</v>
      </c>
      <c r="C3" s="33"/>
      <c r="D3" s="34" t="s">
        <v>281</v>
      </c>
      <c r="E3" s="35"/>
      <c r="F3" s="36"/>
      <c r="G3" s="36"/>
      <c r="H3" s="36"/>
      <c r="I3" s="36"/>
      <c r="J3" s="36"/>
      <c r="K3" s="36"/>
      <c r="L3" s="37"/>
    </row>
    <row r="4" spans="1:16" s="25" customFormat="1" ht="7.5" customHeight="1" x14ac:dyDescent="0.25">
      <c r="A4"/>
      <c r="B4" s="38"/>
      <c r="C4" s="38"/>
      <c r="D4" s="38"/>
    </row>
    <row r="5" spans="1:16" s="25" customFormat="1" ht="15" customHeight="1" x14ac:dyDescent="0.25">
      <c r="A5"/>
      <c r="B5" s="175" t="s">
        <v>282</v>
      </c>
      <c r="C5" s="176"/>
      <c r="D5" s="176"/>
      <c r="E5" s="176"/>
      <c r="F5" s="176"/>
      <c r="G5" s="176"/>
      <c r="H5" s="176"/>
      <c r="I5" s="176"/>
      <c r="J5" s="176"/>
      <c r="K5" s="176"/>
      <c r="L5" s="177"/>
    </row>
    <row r="6" spans="1:16" s="25" customFormat="1" x14ac:dyDescent="0.25">
      <c r="A6"/>
      <c r="B6" s="178"/>
      <c r="C6" s="179"/>
      <c r="D6" s="179"/>
      <c r="E6" s="179"/>
      <c r="F6" s="179"/>
      <c r="G6" s="179"/>
      <c r="H6" s="179"/>
      <c r="I6" s="179"/>
      <c r="J6" s="179"/>
      <c r="K6" s="179"/>
      <c r="L6" s="180"/>
    </row>
    <row r="8" spans="1:16" ht="30" x14ac:dyDescent="0.25">
      <c r="B8" s="45" t="s">
        <v>268</v>
      </c>
      <c r="C8" s="43" t="s">
        <v>269</v>
      </c>
      <c r="D8" s="45" t="s">
        <v>270</v>
      </c>
      <c r="E8" s="45" t="s">
        <v>271</v>
      </c>
      <c r="F8" s="43" t="s">
        <v>366</v>
      </c>
      <c r="G8" s="43" t="s">
        <v>272</v>
      </c>
      <c r="H8" s="43" t="s">
        <v>122</v>
      </c>
      <c r="I8" s="43" t="s">
        <v>123</v>
      </c>
      <c r="J8" s="43" t="s">
        <v>273</v>
      </c>
      <c r="K8" s="43" t="s">
        <v>274</v>
      </c>
      <c r="L8" s="43" t="s">
        <v>275</v>
      </c>
      <c r="M8" s="43" t="s">
        <v>276</v>
      </c>
      <c r="N8" s="43" t="s">
        <v>277</v>
      </c>
    </row>
    <row r="9" spans="1:16" s="3" customFormat="1" ht="70.5" customHeight="1" x14ac:dyDescent="0.25">
      <c r="A9" s="63" t="s">
        <v>383</v>
      </c>
      <c r="B9" s="39">
        <v>1</v>
      </c>
      <c r="C9" s="23" t="s">
        <v>9</v>
      </c>
      <c r="D9" s="23" t="s">
        <v>300</v>
      </c>
      <c r="E9" s="23" t="s">
        <v>388</v>
      </c>
      <c r="F9" s="23" t="s">
        <v>367</v>
      </c>
      <c r="G9" s="23" t="s">
        <v>283</v>
      </c>
      <c r="H9" s="23" t="s">
        <v>373</v>
      </c>
      <c r="I9" s="23" t="s">
        <v>378</v>
      </c>
      <c r="J9" s="23" t="s">
        <v>389</v>
      </c>
      <c r="K9" s="23" t="s">
        <v>285</v>
      </c>
      <c r="L9" s="23" t="s">
        <v>286</v>
      </c>
      <c r="M9" s="23" t="s">
        <v>285</v>
      </c>
      <c r="N9" s="23" t="s">
        <v>284</v>
      </c>
    </row>
    <row r="10" spans="1:16" s="3" customFormat="1" ht="70.5" customHeight="1" x14ac:dyDescent="0.25">
      <c r="A10" s="63"/>
      <c r="B10" s="39">
        <f>B9+1</f>
        <v>2</v>
      </c>
      <c r="C10" s="23" t="s">
        <v>313</v>
      </c>
      <c r="D10" s="23" t="s">
        <v>352</v>
      </c>
      <c r="E10" s="23" t="s">
        <v>380</v>
      </c>
      <c r="F10" s="23" t="s">
        <v>322</v>
      </c>
      <c r="G10" s="23" t="s">
        <v>141</v>
      </c>
      <c r="H10" s="23" t="s">
        <v>135</v>
      </c>
      <c r="I10" s="23" t="s">
        <v>379</v>
      </c>
      <c r="J10" s="23" t="s">
        <v>284</v>
      </c>
      <c r="K10" s="23" t="s">
        <v>285</v>
      </c>
      <c r="L10" s="23" t="s">
        <v>286</v>
      </c>
      <c r="M10" s="23" t="s">
        <v>285</v>
      </c>
      <c r="N10" s="23" t="s">
        <v>284</v>
      </c>
      <c r="P10" s="68" t="s">
        <v>384</v>
      </c>
    </row>
    <row r="11" spans="1:16" s="3" customFormat="1" ht="70.5" customHeight="1" x14ac:dyDescent="0.25">
      <c r="A11" s="63"/>
      <c r="B11" s="39">
        <f t="shared" ref="B11:B24" si="0">B10+1</f>
        <v>3</v>
      </c>
      <c r="C11" s="23" t="s">
        <v>287</v>
      </c>
      <c r="D11" s="23" t="s">
        <v>301</v>
      </c>
      <c r="E11" s="23" t="s">
        <v>288</v>
      </c>
      <c r="F11" s="23" t="s">
        <v>322</v>
      </c>
      <c r="G11" s="23" t="s">
        <v>141</v>
      </c>
      <c r="H11" s="23" t="s">
        <v>135</v>
      </c>
      <c r="I11" s="23" t="s">
        <v>379</v>
      </c>
      <c r="J11" s="23" t="s">
        <v>284</v>
      </c>
      <c r="K11" s="23" t="s">
        <v>285</v>
      </c>
      <c r="L11" s="23" t="s">
        <v>285</v>
      </c>
      <c r="M11" s="23" t="s">
        <v>285</v>
      </c>
      <c r="N11" s="23" t="s">
        <v>284</v>
      </c>
    </row>
    <row r="12" spans="1:16" s="3" customFormat="1" ht="70.5" customHeight="1" x14ac:dyDescent="0.25">
      <c r="A12" s="63"/>
      <c r="B12" s="39">
        <f t="shared" si="0"/>
        <v>4</v>
      </c>
      <c r="C12" s="23" t="s">
        <v>353</v>
      </c>
      <c r="D12" s="23" t="s">
        <v>350</v>
      </c>
      <c r="E12" s="23" t="s">
        <v>354</v>
      </c>
      <c r="F12" s="23" t="s">
        <v>322</v>
      </c>
      <c r="G12" s="23" t="s">
        <v>290</v>
      </c>
      <c r="H12" s="23" t="s">
        <v>135</v>
      </c>
      <c r="I12" s="23" t="s">
        <v>379</v>
      </c>
      <c r="J12" s="23" t="s">
        <v>284</v>
      </c>
      <c r="K12" s="23" t="s">
        <v>285</v>
      </c>
      <c r="L12" s="23" t="s">
        <v>291</v>
      </c>
      <c r="M12" s="23" t="s">
        <v>285</v>
      </c>
      <c r="N12" s="23" t="s">
        <v>284</v>
      </c>
    </row>
    <row r="13" spans="1:16" s="3" customFormat="1" ht="87.75" customHeight="1" x14ac:dyDescent="0.25">
      <c r="A13" s="63"/>
      <c r="B13" s="39">
        <f t="shared" si="0"/>
        <v>5</v>
      </c>
      <c r="C13" s="23" t="s">
        <v>306</v>
      </c>
      <c r="D13" s="23" t="s">
        <v>355</v>
      </c>
      <c r="E13" s="23" t="s">
        <v>356</v>
      </c>
      <c r="F13" s="23" t="s">
        <v>322</v>
      </c>
      <c r="G13" s="23" t="s">
        <v>141</v>
      </c>
      <c r="H13" s="23" t="s">
        <v>135</v>
      </c>
      <c r="I13" s="23" t="s">
        <v>379</v>
      </c>
      <c r="J13" s="23" t="s">
        <v>284</v>
      </c>
      <c r="K13" s="23" t="s">
        <v>285</v>
      </c>
      <c r="L13" s="23" t="s">
        <v>285</v>
      </c>
      <c r="M13" s="23" t="s">
        <v>285</v>
      </c>
      <c r="N13" s="23" t="s">
        <v>284</v>
      </c>
    </row>
    <row r="14" spans="1:16" s="3" customFormat="1" ht="69.75" customHeight="1" x14ac:dyDescent="0.25">
      <c r="A14" s="63"/>
      <c r="B14" s="39">
        <f t="shared" si="0"/>
        <v>6</v>
      </c>
      <c r="C14" s="23" t="s">
        <v>309</v>
      </c>
      <c r="D14" s="23" t="s">
        <v>314</v>
      </c>
      <c r="E14" s="23" t="s">
        <v>292</v>
      </c>
      <c r="F14" s="23" t="s">
        <v>322</v>
      </c>
      <c r="G14" s="23" t="s">
        <v>293</v>
      </c>
      <c r="H14" s="23" t="s">
        <v>135</v>
      </c>
      <c r="I14" s="23" t="s">
        <v>379</v>
      </c>
      <c r="J14" s="23" t="s">
        <v>284</v>
      </c>
      <c r="K14" s="23" t="s">
        <v>285</v>
      </c>
      <c r="L14" s="23" t="s">
        <v>285</v>
      </c>
      <c r="M14" s="23" t="s">
        <v>285</v>
      </c>
      <c r="N14" s="23" t="s">
        <v>284</v>
      </c>
    </row>
    <row r="15" spans="1:16" s="3" customFormat="1" ht="69.75" customHeight="1" x14ac:dyDescent="0.25">
      <c r="A15" s="63"/>
      <c r="B15" s="39">
        <f t="shared" si="0"/>
        <v>7</v>
      </c>
      <c r="C15" s="23" t="s">
        <v>307</v>
      </c>
      <c r="D15" s="23" t="s">
        <v>310</v>
      </c>
      <c r="E15" s="23" t="s">
        <v>361</v>
      </c>
      <c r="F15" s="23" t="s">
        <v>322</v>
      </c>
      <c r="G15" s="23" t="s">
        <v>293</v>
      </c>
      <c r="H15" s="23" t="s">
        <v>135</v>
      </c>
      <c r="I15" s="23" t="s">
        <v>379</v>
      </c>
      <c r="J15" s="23" t="s">
        <v>284</v>
      </c>
      <c r="K15" s="23" t="s">
        <v>285</v>
      </c>
      <c r="L15" s="23" t="s">
        <v>291</v>
      </c>
      <c r="M15" s="23" t="s">
        <v>285</v>
      </c>
      <c r="N15" s="23" t="s">
        <v>284</v>
      </c>
    </row>
    <row r="16" spans="1:16" s="3" customFormat="1" ht="89.25" customHeight="1" x14ac:dyDescent="0.25">
      <c r="A16" s="63"/>
      <c r="B16" s="39">
        <f t="shared" si="0"/>
        <v>8</v>
      </c>
      <c r="C16" s="23" t="s">
        <v>390</v>
      </c>
      <c r="D16" s="23" t="s">
        <v>311</v>
      </c>
      <c r="E16" s="23" t="s">
        <v>357</v>
      </c>
      <c r="F16" s="23" t="s">
        <v>322</v>
      </c>
      <c r="G16" s="23" t="s">
        <v>141</v>
      </c>
      <c r="H16" s="23" t="s">
        <v>135</v>
      </c>
      <c r="I16" s="23" t="s">
        <v>391</v>
      </c>
      <c r="J16" s="23" t="s">
        <v>284</v>
      </c>
      <c r="K16" s="23" t="s">
        <v>285</v>
      </c>
      <c r="L16" s="23" t="s">
        <v>285</v>
      </c>
      <c r="M16" s="23" t="s">
        <v>285</v>
      </c>
      <c r="N16" s="23" t="s">
        <v>284</v>
      </c>
      <c r="O16" s="3" t="s">
        <v>392</v>
      </c>
    </row>
    <row r="17" spans="1:16" s="3" customFormat="1" ht="77.25" customHeight="1" x14ac:dyDescent="0.25">
      <c r="A17" s="63"/>
      <c r="B17" s="39">
        <f t="shared" si="0"/>
        <v>9</v>
      </c>
      <c r="C17" s="23" t="s">
        <v>308</v>
      </c>
      <c r="D17" s="23" t="s">
        <v>351</v>
      </c>
      <c r="E17" s="23" t="s">
        <v>358</v>
      </c>
      <c r="F17" s="23" t="s">
        <v>322</v>
      </c>
      <c r="G17" s="23" t="s">
        <v>141</v>
      </c>
      <c r="H17" s="23" t="s">
        <v>135</v>
      </c>
      <c r="I17" s="23" t="s">
        <v>379</v>
      </c>
      <c r="J17" s="23" t="s">
        <v>284</v>
      </c>
      <c r="K17" s="23" t="s">
        <v>285</v>
      </c>
      <c r="L17" s="23" t="s">
        <v>285</v>
      </c>
      <c r="M17" s="23" t="s">
        <v>285</v>
      </c>
      <c r="N17" s="23" t="s">
        <v>284</v>
      </c>
    </row>
    <row r="18" spans="1:16" s="3" customFormat="1" ht="77.25" customHeight="1" x14ac:dyDescent="0.25">
      <c r="A18" s="64"/>
      <c r="B18" s="39">
        <f t="shared" si="0"/>
        <v>10</v>
      </c>
      <c r="C18" s="23" t="s">
        <v>393</v>
      </c>
      <c r="D18" s="23" t="str">
        <f>'Core Activities'!B18</f>
        <v>Collects personal information of volunteers and monitors whether volunteers are active or inactive</v>
      </c>
      <c r="E18" s="23" t="s">
        <v>359</v>
      </c>
      <c r="F18" s="23" t="s">
        <v>368</v>
      </c>
      <c r="G18" s="23" t="s">
        <v>294</v>
      </c>
      <c r="H18" s="23" t="s">
        <v>135</v>
      </c>
      <c r="I18" s="23" t="s">
        <v>379</v>
      </c>
      <c r="J18" s="23" t="s">
        <v>284</v>
      </c>
      <c r="K18" s="23" t="s">
        <v>295</v>
      </c>
      <c r="L18" s="23" t="s">
        <v>296</v>
      </c>
      <c r="M18" s="23" t="s">
        <v>295</v>
      </c>
      <c r="N18" s="23" t="s">
        <v>284</v>
      </c>
    </row>
    <row r="19" spans="1:16" s="3" customFormat="1" ht="69.75" customHeight="1" x14ac:dyDescent="0.25">
      <c r="A19" s="64"/>
      <c r="B19" s="39">
        <f t="shared" si="0"/>
        <v>11</v>
      </c>
      <c r="C19" s="23" t="s">
        <v>385</v>
      </c>
      <c r="D19" s="23" t="s">
        <v>297</v>
      </c>
      <c r="E19" s="23" t="s">
        <v>297</v>
      </c>
      <c r="F19" s="23" t="s">
        <v>345</v>
      </c>
      <c r="G19" s="23" t="s">
        <v>293</v>
      </c>
      <c r="H19" s="23" t="s">
        <v>135</v>
      </c>
      <c r="I19" s="23" t="s">
        <v>379</v>
      </c>
      <c r="J19" s="23" t="s">
        <v>284</v>
      </c>
      <c r="K19" s="23" t="s">
        <v>285</v>
      </c>
      <c r="L19" s="23" t="s">
        <v>296</v>
      </c>
      <c r="M19" s="23" t="s">
        <v>285</v>
      </c>
      <c r="N19" s="23" t="s">
        <v>284</v>
      </c>
    </row>
    <row r="20" spans="1:16" s="3" customFormat="1" ht="69.75" customHeight="1" x14ac:dyDescent="0.25">
      <c r="A20" s="65" t="s">
        <v>303</v>
      </c>
      <c r="B20" s="39">
        <f t="shared" si="0"/>
        <v>12</v>
      </c>
      <c r="C20" s="23" t="s">
        <v>303</v>
      </c>
      <c r="D20" s="23" t="s">
        <v>302</v>
      </c>
      <c r="E20" s="23" t="s">
        <v>298</v>
      </c>
      <c r="F20" s="23" t="s">
        <v>369</v>
      </c>
      <c r="G20" s="23" t="s">
        <v>293</v>
      </c>
      <c r="H20" s="23" t="s">
        <v>374</v>
      </c>
      <c r="I20" s="23" t="s">
        <v>379</v>
      </c>
      <c r="J20" s="23" t="s">
        <v>284</v>
      </c>
      <c r="K20" s="23" t="s">
        <v>285</v>
      </c>
      <c r="L20" s="23" t="s">
        <v>299</v>
      </c>
      <c r="M20" s="23" t="s">
        <v>285</v>
      </c>
      <c r="N20" s="23" t="s">
        <v>284</v>
      </c>
      <c r="P20" s="68" t="s">
        <v>384</v>
      </c>
    </row>
    <row r="21" spans="1:16" s="3" customFormat="1" ht="69.75" customHeight="1" x14ac:dyDescent="0.25">
      <c r="A21" s="66" t="s">
        <v>305</v>
      </c>
      <c r="B21" s="39">
        <f t="shared" si="0"/>
        <v>13</v>
      </c>
      <c r="C21" s="23" t="s">
        <v>312</v>
      </c>
      <c r="D21" s="23" t="s">
        <v>381</v>
      </c>
      <c r="E21" s="23" t="s">
        <v>381</v>
      </c>
      <c r="F21" s="23" t="s">
        <v>370</v>
      </c>
      <c r="G21" s="23" t="s">
        <v>141</v>
      </c>
      <c r="H21" s="23" t="s">
        <v>375</v>
      </c>
      <c r="I21" s="23" t="s">
        <v>379</v>
      </c>
      <c r="J21" s="23" t="s">
        <v>284</v>
      </c>
      <c r="K21" s="23" t="s">
        <v>285</v>
      </c>
      <c r="L21" s="23" t="s">
        <v>285</v>
      </c>
      <c r="M21" s="23" t="s">
        <v>285</v>
      </c>
      <c r="N21" s="23" t="s">
        <v>284</v>
      </c>
    </row>
    <row r="22" spans="1:16" s="3" customFormat="1" ht="99" customHeight="1" x14ac:dyDescent="0.25">
      <c r="A22" s="63" t="s">
        <v>383</v>
      </c>
      <c r="B22" s="39">
        <f t="shared" si="0"/>
        <v>14</v>
      </c>
      <c r="C22" s="23" t="s">
        <v>304</v>
      </c>
      <c r="D22" s="62" t="s">
        <v>382</v>
      </c>
      <c r="E22" s="62" t="s">
        <v>289</v>
      </c>
      <c r="F22" s="23" t="s">
        <v>371</v>
      </c>
      <c r="G22" s="23" t="s">
        <v>290</v>
      </c>
      <c r="H22" s="23" t="s">
        <v>135</v>
      </c>
      <c r="I22" s="23" t="s">
        <v>379</v>
      </c>
      <c r="J22" s="23" t="s">
        <v>284</v>
      </c>
      <c r="K22" s="23" t="s">
        <v>285</v>
      </c>
      <c r="L22" s="23" t="s">
        <v>291</v>
      </c>
      <c r="M22" s="23" t="s">
        <v>285</v>
      </c>
      <c r="N22" s="23" t="s">
        <v>284</v>
      </c>
    </row>
    <row r="23" spans="1:16" s="3" customFormat="1" ht="90.75" customHeight="1" x14ac:dyDescent="0.25">
      <c r="A23" s="67" t="s">
        <v>88</v>
      </c>
      <c r="B23" s="39">
        <f t="shared" si="0"/>
        <v>15</v>
      </c>
      <c r="C23" s="23" t="s">
        <v>360</v>
      </c>
      <c r="D23" s="23" t="s">
        <v>364</v>
      </c>
      <c r="E23" s="23" t="s">
        <v>365</v>
      </c>
      <c r="F23" s="23" t="s">
        <v>372</v>
      </c>
      <c r="G23" s="23" t="s">
        <v>141</v>
      </c>
      <c r="H23" s="23" t="s">
        <v>376</v>
      </c>
      <c r="I23" s="23" t="s">
        <v>379</v>
      </c>
      <c r="J23" s="23" t="s">
        <v>284</v>
      </c>
      <c r="K23" s="23" t="s">
        <v>285</v>
      </c>
      <c r="L23" s="23" t="s">
        <v>285</v>
      </c>
      <c r="M23" s="23" t="s">
        <v>285</v>
      </c>
      <c r="N23" s="23" t="s">
        <v>284</v>
      </c>
      <c r="P23" s="68" t="s">
        <v>384</v>
      </c>
    </row>
    <row r="24" spans="1:16" s="3" customFormat="1" ht="84.75" customHeight="1" x14ac:dyDescent="0.25">
      <c r="A24" s="67"/>
      <c r="B24" s="39">
        <f t="shared" si="0"/>
        <v>16</v>
      </c>
      <c r="C24" s="23" t="s">
        <v>315</v>
      </c>
      <c r="D24" s="23" t="s">
        <v>363</v>
      </c>
      <c r="E24" s="62" t="s">
        <v>362</v>
      </c>
      <c r="F24" s="23" t="s">
        <v>317</v>
      </c>
      <c r="G24" s="23" t="s">
        <v>141</v>
      </c>
      <c r="H24" s="23" t="s">
        <v>377</v>
      </c>
      <c r="I24" s="23" t="s">
        <v>379</v>
      </c>
      <c r="J24" s="23" t="s">
        <v>284</v>
      </c>
      <c r="K24" s="23" t="s">
        <v>285</v>
      </c>
      <c r="L24" s="23" t="s">
        <v>285</v>
      </c>
      <c r="M24" s="23" t="s">
        <v>285</v>
      </c>
      <c r="N24" s="23" t="s">
        <v>284</v>
      </c>
    </row>
  </sheetData>
  <mergeCells count="1">
    <mergeCell ref="B5:L6"/>
  </mergeCells>
  <pageMargins left="0.7" right="0.7" top="0.75" bottom="0.75" header="0.3" footer="0.3"/>
  <pageSetup paperSize="9" orientation="portrait" verticalDpi="0"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dimension ref="B1:P33"/>
  <sheetViews>
    <sheetView workbookViewId="0"/>
  </sheetViews>
  <sheetFormatPr defaultRowHeight="15" x14ac:dyDescent="0.25"/>
  <cols>
    <col min="2" max="2" width="16.5703125" customWidth="1"/>
    <col min="3" max="3" width="6.28515625" style="61" customWidth="1"/>
    <col min="4" max="16" width="8.5703125" customWidth="1"/>
  </cols>
  <sheetData>
    <row r="1" spans="2:16" x14ac:dyDescent="0.25">
      <c r="C1"/>
    </row>
    <row r="2" spans="2:16" x14ac:dyDescent="0.25">
      <c r="C2"/>
      <c r="D2" s="24"/>
      <c r="E2" s="24"/>
      <c r="F2" s="24"/>
      <c r="K2" s="47"/>
      <c r="L2" s="48"/>
      <c r="M2" s="48"/>
      <c r="N2" s="48"/>
      <c r="O2" s="48"/>
    </row>
    <row r="3" spans="2:16" x14ac:dyDescent="0.25">
      <c r="C3"/>
      <c r="K3" s="47"/>
      <c r="L3" s="48"/>
      <c r="M3" s="48"/>
      <c r="N3" s="48"/>
      <c r="O3" s="48"/>
    </row>
    <row r="4" spans="2:16" x14ac:dyDescent="0.25">
      <c r="C4"/>
      <c r="K4" s="47"/>
      <c r="L4" s="48"/>
      <c r="M4" s="48"/>
      <c r="N4" s="48"/>
      <c r="O4" s="48"/>
    </row>
    <row r="5" spans="2:16" x14ac:dyDescent="0.25">
      <c r="C5"/>
      <c r="K5" s="47"/>
      <c r="L5" s="48"/>
      <c r="M5" s="48"/>
      <c r="N5" s="48"/>
      <c r="O5" s="48"/>
    </row>
    <row r="6" spans="2:16" x14ac:dyDescent="0.25">
      <c r="C6"/>
      <c r="K6" s="47"/>
      <c r="L6" s="48"/>
      <c r="M6" s="48"/>
      <c r="N6" s="48"/>
      <c r="O6" s="48"/>
    </row>
    <row r="9" spans="2:16" x14ac:dyDescent="0.25">
      <c r="B9" s="181" t="s">
        <v>338</v>
      </c>
      <c r="C9" s="49" t="s">
        <v>339</v>
      </c>
      <c r="D9" s="50">
        <v>19</v>
      </c>
      <c r="E9" s="50">
        <v>20</v>
      </c>
      <c r="F9" s="50">
        <v>21</v>
      </c>
      <c r="G9" s="50">
        <v>22</v>
      </c>
      <c r="H9" s="50">
        <v>23</v>
      </c>
      <c r="I9" s="50">
        <v>26</v>
      </c>
      <c r="J9" s="50">
        <v>27</v>
      </c>
      <c r="K9" s="50">
        <v>28</v>
      </c>
      <c r="L9" s="50">
        <v>1</v>
      </c>
      <c r="M9" s="50">
        <v>2</v>
      </c>
      <c r="N9" s="50">
        <v>5</v>
      </c>
      <c r="O9" s="50">
        <v>6</v>
      </c>
      <c r="P9" s="50">
        <v>7</v>
      </c>
    </row>
    <row r="10" spans="2:16" x14ac:dyDescent="0.25">
      <c r="B10" s="181"/>
      <c r="C10" s="49" t="s">
        <v>340</v>
      </c>
      <c r="D10" s="51" t="s">
        <v>341</v>
      </c>
      <c r="E10" s="51" t="s">
        <v>342</v>
      </c>
      <c r="F10" s="51" t="s">
        <v>343</v>
      </c>
      <c r="G10" s="51" t="s">
        <v>342</v>
      </c>
      <c r="H10" s="51" t="s">
        <v>344</v>
      </c>
      <c r="I10" s="51" t="s">
        <v>341</v>
      </c>
      <c r="J10" s="51" t="s">
        <v>342</v>
      </c>
      <c r="K10" s="51" t="s">
        <v>343</v>
      </c>
      <c r="L10" s="51" t="s">
        <v>342</v>
      </c>
      <c r="M10" s="51" t="s">
        <v>344</v>
      </c>
      <c r="N10" s="51" t="s">
        <v>341</v>
      </c>
      <c r="O10" s="51" t="s">
        <v>342</v>
      </c>
      <c r="P10" s="51" t="s">
        <v>343</v>
      </c>
    </row>
    <row r="11" spans="2:16" ht="34.5" customHeight="1" x14ac:dyDescent="0.25">
      <c r="B11" s="52" t="s">
        <v>322</v>
      </c>
      <c r="C11" s="53"/>
      <c r="D11" s="54"/>
      <c r="E11" s="54"/>
      <c r="F11" s="54"/>
      <c r="G11" s="54"/>
      <c r="H11" s="54"/>
      <c r="I11" s="54"/>
      <c r="J11" s="54"/>
      <c r="K11" s="54"/>
      <c r="L11" s="54"/>
      <c r="M11" s="54"/>
      <c r="N11" s="54"/>
      <c r="O11" s="54"/>
      <c r="P11" s="55"/>
    </row>
    <row r="12" spans="2:16" ht="34.5" customHeight="1" x14ac:dyDescent="0.25">
      <c r="B12" s="56" t="s">
        <v>345</v>
      </c>
      <c r="C12" s="57"/>
      <c r="D12" s="58"/>
      <c r="E12" s="58"/>
      <c r="F12" s="58"/>
      <c r="G12" s="58"/>
      <c r="H12" s="58"/>
      <c r="I12" s="58"/>
      <c r="J12" s="58"/>
      <c r="K12" s="58"/>
      <c r="L12" s="58"/>
      <c r="M12" s="58"/>
      <c r="N12" s="58"/>
      <c r="O12" s="58"/>
      <c r="P12" s="59"/>
    </row>
    <row r="13" spans="2:16" ht="34.5" customHeight="1" x14ac:dyDescent="0.25">
      <c r="B13" s="60" t="s">
        <v>346</v>
      </c>
      <c r="C13" s="57"/>
      <c r="D13" s="58"/>
      <c r="E13" s="58"/>
      <c r="F13" s="58"/>
      <c r="G13" s="58"/>
      <c r="H13" s="58"/>
      <c r="I13" s="58"/>
      <c r="J13" s="58"/>
      <c r="K13" s="58"/>
      <c r="L13" s="58"/>
      <c r="M13" s="58"/>
      <c r="N13" s="58"/>
      <c r="O13" s="58"/>
      <c r="P13" s="59"/>
    </row>
    <row r="14" spans="2:16" ht="34.5" customHeight="1" x14ac:dyDescent="0.25">
      <c r="B14" s="60" t="s">
        <v>347</v>
      </c>
      <c r="C14" s="57"/>
      <c r="D14" s="58"/>
      <c r="E14" s="58"/>
      <c r="F14" s="58"/>
      <c r="G14" s="58"/>
      <c r="H14" s="58"/>
      <c r="I14" s="58"/>
      <c r="J14" s="58"/>
      <c r="K14" s="58"/>
      <c r="L14" s="58"/>
      <c r="M14" s="58"/>
      <c r="N14" s="58"/>
      <c r="O14" s="58"/>
      <c r="P14" s="59"/>
    </row>
    <row r="16" spans="2:16" x14ac:dyDescent="0.25">
      <c r="B16" s="24" t="s">
        <v>349</v>
      </c>
    </row>
    <row r="17" spans="2:5" x14ac:dyDescent="0.25">
      <c r="B17" t="s">
        <v>316</v>
      </c>
      <c r="E17" t="s">
        <v>331</v>
      </c>
    </row>
    <row r="18" spans="2:5" x14ac:dyDescent="0.25">
      <c r="B18" t="s">
        <v>332</v>
      </c>
      <c r="E18" t="s">
        <v>333</v>
      </c>
    </row>
    <row r="19" spans="2:5" x14ac:dyDescent="0.25">
      <c r="B19" t="s">
        <v>334</v>
      </c>
      <c r="E19" t="s">
        <v>335</v>
      </c>
    </row>
    <row r="20" spans="2:5" x14ac:dyDescent="0.25">
      <c r="B20" t="s">
        <v>336</v>
      </c>
      <c r="E20" t="s">
        <v>337</v>
      </c>
    </row>
    <row r="22" spans="2:5" x14ac:dyDescent="0.25">
      <c r="B22" t="s">
        <v>318</v>
      </c>
      <c r="C22"/>
    </row>
    <row r="23" spans="2:5" x14ac:dyDescent="0.25">
      <c r="B23" s="24" t="s">
        <v>123</v>
      </c>
      <c r="C23"/>
    </row>
    <row r="24" spans="2:5" x14ac:dyDescent="0.25">
      <c r="B24" s="24" t="s">
        <v>319</v>
      </c>
      <c r="C24"/>
    </row>
    <row r="25" spans="2:5" x14ac:dyDescent="0.25">
      <c r="B25" s="24" t="s">
        <v>320</v>
      </c>
      <c r="C25"/>
    </row>
    <row r="26" spans="2:5" x14ac:dyDescent="0.25">
      <c r="B26" s="24" t="s">
        <v>321</v>
      </c>
      <c r="C26"/>
    </row>
    <row r="27" spans="2:5" x14ac:dyDescent="0.25">
      <c r="B27" s="24" t="s">
        <v>322</v>
      </c>
      <c r="C27"/>
    </row>
    <row r="28" spans="2:5" x14ac:dyDescent="0.25">
      <c r="B28" s="24" t="s">
        <v>323</v>
      </c>
      <c r="C28"/>
    </row>
    <row r="29" spans="2:5" x14ac:dyDescent="0.25">
      <c r="B29" s="24" t="s">
        <v>324</v>
      </c>
      <c r="C29" t="s">
        <v>325</v>
      </c>
    </row>
    <row r="30" spans="2:5" x14ac:dyDescent="0.25">
      <c r="B30" s="24" t="s">
        <v>326</v>
      </c>
      <c r="C30"/>
    </row>
    <row r="31" spans="2:5" x14ac:dyDescent="0.25">
      <c r="B31" s="24" t="s">
        <v>327</v>
      </c>
      <c r="C31"/>
    </row>
    <row r="32" spans="2:5" x14ac:dyDescent="0.25">
      <c r="B32" s="24" t="s">
        <v>328</v>
      </c>
      <c r="C32"/>
    </row>
    <row r="33" spans="2:3" x14ac:dyDescent="0.25">
      <c r="B33" s="24" t="s">
        <v>329</v>
      </c>
      <c r="C33" t="s">
        <v>330</v>
      </c>
    </row>
  </sheetData>
  <mergeCells count="1">
    <mergeCell ref="B9:B10"/>
  </mergeCells>
  <pageMargins left="0.7" right="0.7" top="0.75" bottom="0.75" header="0.3" footer="0.3"/>
  <pageSetup paperSize="9" orientation="portrait"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B2:G25"/>
  <sheetViews>
    <sheetView workbookViewId="0"/>
  </sheetViews>
  <sheetFormatPr defaultRowHeight="15" x14ac:dyDescent="0.25"/>
  <cols>
    <col min="1" max="1" width="2.7109375" customWidth="1"/>
    <col min="5" max="5" width="68.7109375" bestFit="1" customWidth="1"/>
  </cols>
  <sheetData>
    <row r="2" spans="2:7" x14ac:dyDescent="0.25">
      <c r="B2" s="24" t="s">
        <v>0</v>
      </c>
    </row>
    <row r="3" spans="2:7" x14ac:dyDescent="0.25">
      <c r="B3" t="s">
        <v>236</v>
      </c>
      <c r="E3" t="s">
        <v>250</v>
      </c>
      <c r="G3" t="s">
        <v>242</v>
      </c>
    </row>
    <row r="4" spans="2:7" x14ac:dyDescent="0.25">
      <c r="E4" t="s">
        <v>260</v>
      </c>
      <c r="G4" t="s">
        <v>238</v>
      </c>
    </row>
    <row r="5" spans="2:7" x14ac:dyDescent="0.25">
      <c r="E5" t="s">
        <v>237</v>
      </c>
      <c r="G5" t="s">
        <v>239</v>
      </c>
    </row>
    <row r="6" spans="2:7" x14ac:dyDescent="0.25">
      <c r="E6" t="s">
        <v>261</v>
      </c>
      <c r="G6" t="s">
        <v>240</v>
      </c>
    </row>
    <row r="7" spans="2:7" x14ac:dyDescent="0.25">
      <c r="E7" t="s">
        <v>262</v>
      </c>
      <c r="G7" t="s">
        <v>241</v>
      </c>
    </row>
    <row r="8" spans="2:7" x14ac:dyDescent="0.25">
      <c r="E8" t="s">
        <v>263</v>
      </c>
      <c r="G8" t="s">
        <v>243</v>
      </c>
    </row>
    <row r="9" spans="2:7" x14ac:dyDescent="0.25">
      <c r="E9" t="s">
        <v>264</v>
      </c>
      <c r="G9" t="s">
        <v>244</v>
      </c>
    </row>
    <row r="10" spans="2:7" x14ac:dyDescent="0.25">
      <c r="E10" t="s">
        <v>267</v>
      </c>
      <c r="G10" t="s">
        <v>245</v>
      </c>
    </row>
    <row r="11" spans="2:7" x14ac:dyDescent="0.25">
      <c r="G11" t="s">
        <v>246</v>
      </c>
    </row>
    <row r="12" spans="2:7" x14ac:dyDescent="0.25">
      <c r="G12" t="s">
        <v>247</v>
      </c>
    </row>
    <row r="13" spans="2:7" x14ac:dyDescent="0.25">
      <c r="G13" t="s">
        <v>248</v>
      </c>
    </row>
    <row r="14" spans="2:7" x14ac:dyDescent="0.25">
      <c r="G14" t="s">
        <v>249</v>
      </c>
    </row>
    <row r="15" spans="2:7" x14ac:dyDescent="0.25">
      <c r="G15" t="s">
        <v>251</v>
      </c>
    </row>
    <row r="16" spans="2:7" x14ac:dyDescent="0.25">
      <c r="G16" t="s">
        <v>252</v>
      </c>
    </row>
    <row r="17" spans="2:7" x14ac:dyDescent="0.25">
      <c r="G17" t="s">
        <v>253</v>
      </c>
    </row>
    <row r="18" spans="2:7" x14ac:dyDescent="0.25">
      <c r="G18" t="s">
        <v>254</v>
      </c>
    </row>
    <row r="19" spans="2:7" x14ac:dyDescent="0.25">
      <c r="G19" t="s">
        <v>255</v>
      </c>
    </row>
    <row r="20" spans="2:7" x14ac:dyDescent="0.25">
      <c r="G20" t="s">
        <v>256</v>
      </c>
    </row>
    <row r="21" spans="2:7" x14ac:dyDescent="0.25">
      <c r="G21" t="s">
        <v>257</v>
      </c>
    </row>
    <row r="22" spans="2:7" x14ac:dyDescent="0.25">
      <c r="G22" t="s">
        <v>258</v>
      </c>
    </row>
    <row r="23" spans="2:7" x14ac:dyDescent="0.25">
      <c r="G23" t="s">
        <v>259</v>
      </c>
    </row>
    <row r="24" spans="2:7" x14ac:dyDescent="0.25">
      <c r="B24" s="24" t="s">
        <v>265</v>
      </c>
    </row>
    <row r="25" spans="2:7" x14ac:dyDescent="0.25">
      <c r="B25" t="s">
        <v>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5</vt:i4>
      </vt:variant>
    </vt:vector>
  </HeadingPairs>
  <TitlesOfParts>
    <vt:vector size="17" baseType="lpstr">
      <vt:lpstr>Threshold</vt:lpstr>
      <vt:lpstr>Threshold.format</vt:lpstr>
      <vt:lpstr>Core activities (2)</vt:lpstr>
      <vt:lpstr>Core Activities.format</vt:lpstr>
      <vt:lpstr>Data Processing Systems</vt:lpstr>
      <vt:lpstr>Major Processes</vt:lpstr>
      <vt:lpstr>Group DPS</vt:lpstr>
      <vt:lpstr>Core Activities</vt:lpstr>
      <vt:lpstr>Data processing systems (2)</vt:lpstr>
      <vt:lpstr>Draft DPS</vt:lpstr>
      <vt:lpstr>Calendar</vt:lpstr>
      <vt:lpstr>Sheet1</vt:lpstr>
      <vt:lpstr>'Core Activities.format'!Print_Area</vt:lpstr>
      <vt:lpstr>'Data Processing Systems'!Print_Area</vt:lpstr>
      <vt:lpstr>'Core Activities'!Print_Titles</vt:lpstr>
      <vt:lpstr>'Data Processing Systems'!Print_Titles</vt:lpstr>
      <vt:lpstr>Threshold!Print_Titles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Patrick S. Ibo</dc:creator>
  <cp:lastModifiedBy>shin jabonga</cp:lastModifiedBy>
  <cp:lastPrinted>2026-04-16T01:44:12Z</cp:lastPrinted>
  <dcterms:created xsi:type="dcterms:W3CDTF">2017-07-07T01:43:04Z</dcterms:created>
  <dcterms:modified xsi:type="dcterms:W3CDTF">2026-04-16T01:44:19Z</dcterms:modified>
</cp:coreProperties>
</file>